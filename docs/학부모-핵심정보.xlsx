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어영욱\Desktop\my-first-app\docs\"/>
    </mc:Choice>
  </mc:AlternateContent>
  <xr:revisionPtr revIDLastSave="0" documentId="13_ncr:1_{4D0896F6-8F18-47D5-8192-16CE6B588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안내" sheetId="1" r:id="rId1"/>
    <sheet name="제도 한눈에" sheetId="2" r:id="rId2"/>
    <sheet name="준비 서류" sheetId="3" r:id="rId3"/>
    <sheet name="기한·갈림길" sheetId="4" r:id="rId4"/>
    <sheet name="문의처" sheetId="5" r:id="rId5"/>
    <sheet name="지역 자체사업" sheetId="6" r:id="rId6"/>
    <sheet name="16개 시도 비교" sheetId="7" r:id="rId7"/>
  </sheets>
  <definedNames>
    <definedName name="_xlnm._FilterDatabase" localSheetId="6" hidden="1">'16개 시도 비교'!$A$4:$G$20</definedName>
    <definedName name="_xlnm._FilterDatabase" localSheetId="3" hidden="1">기한·갈림길!$A$4:$C$17</definedName>
    <definedName name="_xlnm._FilterDatabase" localSheetId="4" hidden="1">문의처!$A$4:$F$11</definedName>
    <definedName name="_xlnm._FilterDatabase" localSheetId="1" hidden="1">'제도 한눈에'!$A$4:$N$22</definedName>
    <definedName name="_xlnm._FilterDatabase" localSheetId="2" hidden="1">'준비 서류'!$A$4:$G$42</definedName>
    <definedName name="_xlnm._FilterDatabase" localSheetId="5" hidden="1">'지역 자체사업'!$A$4:$I$97</definedName>
  </definedNames>
  <calcPr calcId="191029"/>
</workbook>
</file>

<file path=xl/calcChain.xml><?xml version="1.0" encoding="utf-8"?>
<calcChain xmlns="http://schemas.openxmlformats.org/spreadsheetml/2006/main">
  <c r="C27" i="7" l="1"/>
  <c r="C26" i="7"/>
  <c r="C25" i="7"/>
  <c r="C24" i="7"/>
  <c r="C23" i="7"/>
  <c r="B18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<sst xmlns="http://schemas.openxmlformats.org/spreadsheetml/2006/main" count="1487" uniqueCount="783">
  <si>
    <t>학부모 핵심 정보 — 복지그루</t>
  </si>
  <si>
    <t>특수교육지원센터 상담 담당자가 학부모에게 안내할 때 쓰는 핵심 정보 모음입니다. 2026-10-17 기준.</t>
  </si>
  <si>
    <t>탭</t>
  </si>
  <si>
    <t>무엇이 있나</t>
  </si>
  <si>
    <t>제도 한눈에</t>
  </si>
  <si>
    <t>강원 · 경남에서 확인할 제도 — 대상 · 지원 내용 · 신청처 · 준비 서류 · 기한 · 문의 · 근거</t>
  </si>
  <si>
    <t>준비 서류</t>
  </si>
  <si>
    <t>선정·배치 신청 상황별 서류 · 어디서 받나 · 「먼저」 받아 와야 하는 서류</t>
  </si>
  <si>
    <t>기한·갈림길</t>
  </si>
  <si>
    <t>법정 기한 · 만 9세 단절 · 교육청 신청 시기</t>
  </si>
  <si>
    <t>문의처</t>
  </si>
  <si>
    <t>전국 공통 번호와 시도교육청 대표 번호</t>
  </si>
  <si>
    <t>지역 자체사업</t>
  </si>
  <si>
    <t>복지로에 등록된 시·도 · 시·군 장애인 사업 (후보 — 확인 필요)</t>
  </si>
  <si>
    <t>16개 시도 비교</t>
  </si>
  <si>
    <t>서울 제외 16개 시도의 치료지원 카드 · 금액 · 서식 번호</t>
  </si>
  <si>
    <t>숫자로 보기</t>
  </si>
  <si>
    <t>강원 — 확인할 제도</t>
  </si>
  <si>
    <t>경남 — 확인할 제도</t>
  </si>
  <si>
    <t>「예시」로 남은 제도 (두 지역 합)</t>
  </si>
  <si>
    <t>「먼저」 받아 와야 하는 서류 줄 수</t>
  </si>
  <si>
    <t>지역 자체사업 후보 — 강원</t>
  </si>
  <si>
    <t>지역 자체사업 후보 — 경남</t>
  </si>
  <si>
    <t>원칙 — 자격을 판정하지 않습니다. 「신청할 수 있습니다」 「확인이 필요합니다」까지만 안내합니다.</t>
  </si>
  <si>
    <t>서류를 대신 작성하거나 제출하지 않습니다 (행정사법). 서류 목록과 서식 위치만 안내합니다.</t>
  </si>
  <si>
    <t>「확인」은 공식 원문으로 확인한 값, 「예시」는 근거를 확인하지 못한 값입니다 (노란 칸).</t>
  </si>
  <si>
    <t>출처 — 교육부 · 보건복지부 · 시도교육청 원문, 행정안전부 「공공서비스(혜택) 정보」, 한국사회보장정보원 「중앙부처복지서비스」 · 「지자체복지서비스」 API.</t>
  </si>
  <si>
    <t>금액 · 기준은 해마다 바뀝니다. 각 행의 「확인 시점」을 보고 오래된 값은 다시 확인하세요.</t>
  </si>
  <si>
    <t>아동 개인정보는 이 파일에 없습니다. 상담 기록을 이 파일에 적지 마세요.</t>
  </si>
  <si>
    <t>제도 한눈에 — 강원 · 경남</t>
  </si>
  <si>
    <t>복지그루 규칙 데이터(app/lib/data.ts)에서 그대로 뽑았습니다. 「예시」는 근거를 확인하지 못한 값입니다. 자격 판정이 아니라 확인 목록입니다.</t>
  </si>
  <si>
    <t>지역</t>
  </si>
  <si>
    <t>소관</t>
  </si>
  <si>
    <t>제도</t>
  </si>
  <si>
    <t>대상 조건</t>
  </si>
  <si>
    <t>지원 내용</t>
  </si>
  <si>
    <t>신청처</t>
  </si>
  <si>
    <t>신청 시기 · 기한</t>
  </si>
  <si>
    <t>문의</t>
  </si>
  <si>
    <t>공식 안내</t>
  </si>
  <si>
    <t>근거 법령</t>
  </si>
  <si>
    <t>확인 상태</t>
  </si>
  <si>
    <t>확인 시점</t>
  </si>
  <si>
    <t>출처</t>
  </si>
  <si>
    <t>강원특별자치도</t>
  </si>
  <si>
    <t>교육청</t>
  </si>
  <si>
    <t>특수교육대상자 선정·배치 (진단·평가)</t>
  </si>
  <si>
    <t>특수교육대상자로 선정되어야 아래 교육청 지원제도를 신청할 수 있습니다. 모든 절차의 출발점입니다.</t>
  </si>
  <si>
    <t>해당 지역 특수교육지원센터</t>
  </si>
  <si>
    <t>• 「준비 서류」 탭을 보세요 — 신청 상황에 따라 달라집니다</t>
  </si>
  <si>
    <t>회부일로부터 30일 이내 진단·평가 → 결과보고 후 2주 이내 선정·배치 통보</t>
  </si>
  <si>
    <t>장애인 등에 대한 특수교육법 제15조·제16조·제17조</t>
  </si>
  <si>
    <t>확인</t>
  </si>
  <si>
    <t>2026.08 확인</t>
  </si>
  <si>
    <t>강원·경남 교육청 지침 (2026.08 대조 확인)</t>
  </si>
  <si>
    <t>치료지원 — 마음모아카드</t>
  </si>
  <si>
    <t>특수교육대상자로 선정된 아동</t>
  </si>
  <si>
    <t>병·의원, 장애인복지관, 사설치료실 등에서 받는 치료지원 비용을 1인당 월 16만 원 이내 실소요액으로 지원합니다. 마음모아카드 포인트로 12개월(3월~다음 해 2월) 씁니다. 영아 · 유 · 초 · 중 · 고 · 특수학교(전공과 포함) 특수교육대상자 중 치료지원 대상자로 선정된 학생이 대상이며, 영아는 재택 보육하는 경우만 해당합니다. 복지부 발달재활서비스는 물리·작업치료를 지원하지 않으므로, 두 제도가 메우는 칸이 다릅니다.</t>
  </si>
  <si>
    <t>특수교육지원센터 (이용계획서 등록·승인)</t>
  </si>
  <si>
    <t>• 치료지원기관 이용계획서</t>
  </si>
  <si>
    <t>매년 3월 (대상자 선정 → 이용계획서 등록·승인 → 카드 발급)</t>
  </si>
  <si>
    <t>장애인 등에 대한 특수교육법 제28조 (특수교육 관련서비스), 같은 법 시행령</t>
  </si>
  <si>
    <t>2026.10 공식 원문 대조</t>
  </si>
  <si>
    <t>행정안전부 「공공서비스(혜택) 정보」 「특수교육대상자 치료지원」(강원특별자치도교육청, 2026-06-04 수정, 780000000011) · 강원 특수교육지원센터 운영계획 「치료지원 운영 계획」(2026-03-27, gwe.go.kr bbsSn=50566)</t>
  </si>
  <si>
    <t>지원인력 (보조인력) 배치</t>
  </si>
  <si>
    <t>교수학습 활동 · 신변처리 · 급식 · 교내외 활동 · 등하교를 보조하는 인력을 배치합니다. 학부모가 가장 자주 묻는 항목입니다. 다만 선정되면 자동으로 배치되는 것이 아니라 학교장이 통합교육계획에 포함해 신청하고 교육감이 수급 계획에 따라 배치합니다. 배치 여부와 시기는 학교·교육지원청에 확인해야 합니다.</t>
  </si>
  <si>
    <t>소속 학교 → 교육지원청</t>
  </si>
  <si>
    <t>• 지원인력 배치 요청 (소속 학교를 통해)
• 배치 결과통지서 사본</t>
  </si>
  <si>
    <t>학교장이 통합교육계획에 포함해 신청. 시기는 학교·교육지원청 확인</t>
  </si>
  <si>
    <t>장애인 등에 대한 특수교육법 제28조 제3항, 시행규칙 제5조</t>
  </si>
  <si>
    <t>법제처 찾기쉬운 생활법령정보 「특수교육 관련서비스」 — 지원인력은 교수학습 활동·신변처리·급식·교내외 활동·등하교 보조. 교육감이 수급 계획 수립과 채용·배치를 수행</t>
  </si>
  <si>
    <t>통학비 및 숙식비 지원</t>
  </si>
  <si>
    <t>특수교육대상자의 통학비와 숙식비를 지원합니다. 학년 초 지원 대상자를 정할 때 학교에 신청합니다. 지원 금액은 원문에 적혀 있지 않아 학교에 확인해야 합니다.</t>
  </si>
  <si>
    <t>소속 학교</t>
  </si>
  <si>
    <t>• 학교 신청서 (학년 초 지원 대상자 선정 시)</t>
  </si>
  <si>
    <t>상시 신청 — 보통 학년 초 지원 대상자 선정 때 냅니다</t>
  </si>
  <si>
    <t>장애인 등에 대한 특수교육법 제28조</t>
  </si>
  <si>
    <t>행정안전부 「공공서비스(혜택) 정보」 「특수교육대상자 통학비 및 숙식비 지원」(강원특별자치도교육청 행정과, 2026-06-04 수정, 780000000003) — 근거 특수교육법 제28조 제5항. 금액은 원문에 없음</t>
  </si>
  <si>
    <t>의료</t>
  </si>
  <si>
    <t>장애 진단 · 장애인 등록</t>
  </si>
  <si>
    <t>복지부 제도 대부분의 전제입니다. 교육청의 특수교육대상자 선정과는 별개 절차입니다. ① 읍면동에 신청 → ② 의료기관에서 「장애정도 심사용 진단서」 발급 → ③ 국민연금공단이 2인 이상 전문의 의학자문회의로 심사 → ④ 시·군·구가 등록하고 결과를 통지합니다. 등록이 끝나면 장애인증명서는 읍면동에서 즉시 발급됩니다.</t>
  </si>
  <si>
    <t>읍면동 주민센터에 신청 → 의료기관 진단 → 국민연금공단 심사</t>
  </si>
  <si>
    <t>• 장애인등록 및 서비스 신청서
• 사진 1장 (3.5cm × 4.5cm)
• 장애정도 심사용 진단서 (의료기관 전문의 발급)
• 검사 결과지 · 진료기록</t>
  </si>
  <si>
    <t>상시 신청. 처리기간은 보건복지부 안내에 명시돼 있지 않아 읍면동에 확인해야 합니다</t>
  </si>
  <si>
    <t>1355 (국민연금공단 (장애정도 심사))</t>
  </si>
  <si>
    <t>https://www.mohw.go.kr/menu.es?mid=a10710010900</t>
  </si>
  <si>
    <t>장애인복지법 제32조</t>
  </si>
  <si>
    <t>보건복지부 「장애인등록/장애정도 심사제도」 https://www.mohw.go.kr/menu.es?mid=a10710010900 · 별개 절차라는 점은 경남 지침 Q&amp;A에서 확인</t>
  </si>
  <si>
    <t>복지부</t>
  </si>
  <si>
    <t>발달재활서비스 바우처</t>
  </si>
  <si>
    <t>만 17세까지
신청일 현재 만 18세 미만이 대상이며 18세가 되는 달까지 지원합니다. 장애 등록이 없는 경우에는 만 9세가 되는 달까지만 지원됩니다.</t>
  </si>
  <si>
    <t>언어·청능·미술·음악·행동·놀이심리·감각·운동발달 재활 등을 바우처로 지원합니다. 장애 등록이 없어도 만 9세 미만이면 「발달재활서비스 의뢰서」와 검사자료로 신청할 수 있습니다. 등록 대상 유형은 뇌병변·지적·자폐성·청각·언어·시각입니다. 기준중위소득 180% 이하이며 소득 구간별로 월 18~26만원입니다. 의료기관의 물리치료·작업치료는 지원하지 않습니다 — 교육청 치료지원은 이를 지원하므로 함께 확인합니다.</t>
  </si>
  <si>
    <t>읍면동 주민센터 (온라인은 복지로)</t>
  </si>
  <si>
    <t>• 사회보장급여 신청서
• 신분증
• 소득 증명 자료
• 장애 등록 전이면 — 발달재활서비스 의뢰서 + 검사자료
• 국민행복카드 발급용 법정대리인 동의서 (아동 명의 바우처 카드)</t>
  </si>
  <si>
    <t>상시 신청. 제공기관이 부족한 지역은 대기 발생</t>
  </si>
  <si>
    <t>129 (보건복지상담센터 (4번 장애인))</t>
  </si>
  <si>
    <t>https://www.socialservice.or.kr:444/user/htmlEditor/view2.do?p_sn=11</t>
  </si>
  <si>
    <t>장애아동 복지지원법 제21조</t>
  </si>
  <si>
    <t>2026.10 복지로 원문 대조 — 금액·소득 기준은 해마다 바뀝니다</t>
  </si>
  <si>
    <t>사회서비스 전자바우처(한국사회보장정보원) 「발달재활서비스」 사업 안내 https://www.socialservice.or.kr:444/user/htmlEditor/view2.do?p_sn=11 · 복지로 「발달재활서비스」(보건복지부 장애인건강과, 2026년 기준) 원문 대조 — 금액·대상 일치, 물리·작업치료 제외와 법정대리인 동의서는 원문에서 추가</t>
  </si>
  <si>
    <t>청소년 발달장애인 방과후활동서비스</t>
  </si>
  <si>
    <t>만 6세 ~ 만 17세
장애영역 — 자폐성장애 · 지적장애
만 6세 이상 만 18세 미만이 대상입니다. 만 18세 이상 재학생은 주간활동서비스(기본형)와 택 1이며, 이때 발급 1개월 이내 재학증명서가 필요합니다.</t>
  </si>
  <si>
    <t>방과후 돌봄·활동과 성인기 자립준비를 위한 이용권(바우처)을 월 66시간 지원합니다. 장애인복지법상 등록된 지적·자폐성 장애인만 대상입니다 — 발달지체로 특수교육대상자가 되어도 복지 쪽 등록 유형이 지적·자폐성이 아니면 신청할 수 없습니다. 온종일교실 · 청소년 방과후 아카데미 · 장애인 거주시설 입소자는 제외됩니다.</t>
  </si>
  <si>
    <t>읍면동 주민센터</t>
  </si>
  <si>
    <t>• 사회보장급여 신청서
• 장애인증명서</t>
  </si>
  <si>
    <t>상시 신청</t>
  </si>
  <si>
    <t>https://www.mohw.go.kr/menu.es?mid=a10710041200</t>
  </si>
  <si>
    <t>발달장애인 권리보장 및 지원에 관한 법률 제29조의2 (주간활동·방과 후 활동 지원)</t>
  </si>
  <si>
    <t>2026.10 복지로 원문 대조</t>
  </si>
  <si>
    <t>보건복지부 「청소년 발달장애인 방과후활동서비스」 https://www.mohw.go.kr/menu.es?mid=a10710041200 · 복지로 「청소년 발달장애인 방과후활동서비스」(보건복지부 장애인서비스과, 2026년 기준) 원문 대조 — 대상 일치, 월 66시간·재학증명서 조건은 원문에서 추가</t>
  </si>
  <si>
    <t>장애아동수당</t>
  </si>
  <si>
    <t>만 17세까지
신청월 현재 만 18세 미만이 대상입니다. 초·중등교육법 제2조 학교에 재학(휴학 포함) 중이면 20세 이하까지 포함되며, **특수학교 전공과도 이 학교에 포함됩니다** (장애인연금 수급자는 제외).</t>
  </si>
  <si>
    <t>장애인복지법 제32조에 따라 등록한 장애인이어야 합니다. 발달재활서비스와 달리 등록 없이는 신청할 수 없습니다. 국민기초생활보장 수급자와 차상위계층(소득인정액이 기준중위소득 50% 이하 — 2026년 4인 가구 3,247,369원 이하)이 대상이며, 장애 정도와 소득 계층에 따라 월 3만~22만원을 지급합니다. 2025년 4월 22일부터 생계·의료급여를 받는 장애아동은 신청하지 않아도 지급됩니다.</t>
  </si>
  <si>
    <t>읍면동 행정복지센터 (읍·면·동장을 거쳐 시장·군수·구청장에게 제출)</t>
  </si>
  <si>
    <t>• 사회보장급여 신청서
• 금융정보 등 제공 동의서
• 소득·재산 증빙
• 통장 사본</t>
  </si>
  <si>
    <t>상시 신청. 지급일은 매월 20일 (토요일·공휴일이면 그 전날)</t>
  </si>
  <si>
    <t>https://www.easylaw.go.kr/CSP/CnpClsMain.laf?popMenu=ov&amp;csmSeq=916&amp;ccfNo=2&amp;cciNo=1&amp;cnpClsNo=2</t>
  </si>
  <si>
    <t>장애인복지법 제50조·제51조, 시행령 제32조, 시행규칙 제38조</t>
  </si>
  <si>
    <t>2026.10 복지로 원문 대조 — 지급액은 「2026년 장애인연금 사업안내」 기준</t>
  </si>
  <si>
    <t>법제처 찾기쉬운 생활법령정보 「장애수당 및 장애아동수당」 https://www.easylaw.go.kr/CSP/CnpClsMain.laf?popMenu=ov&amp;csmSeq=916&amp;ccfNo=2&amp;cciNo=1&amp;cnpClsNo=2 · 복지로 「장애아동수당」(보건복지부 장애인자립기반과, 2026년 기준) 원문 대조 — 지급액 일치, 전공과 포함·2026 차상위 금액·금융정보 동의서는 원문에서 추가 · 신청 없이 지급은 보건복지부 보도자료(2025.4, list_no=1485524)</t>
  </si>
  <si>
    <t>방과후학교 지원 — 마음모아카드</t>
  </si>
  <si>
    <t>특수교육대상자로 선정된 아동
학교급 — 초등학교 · 중학교 · 고등학교</t>
  </si>
  <si>
    <t>초 · 중 · 고 · 특수학교(전공과 포함) 특수교육대상자 중 희망자에게 1인당 월 15만 원 이내 실소요액을 지원합니다. 위탁형은 치료지원과 같은 마음모아카드 포인트로, 교내형은 학교 예산으로 운영합니다. 유치원은 무상교육비로 지원하므로 이 사업 대상이 아닙니다.</t>
  </si>
  <si>
    <t>소속 학교 → 특수교육지원센터 (이용계획서 등록·승인)</t>
  </si>
  <si>
    <t>• 방과후학교 이용계획서</t>
  </si>
  <si>
    <t>매년 3월 (이용계획서 등록·승인 → 카드 발급)</t>
  </si>
  <si>
    <t>행정안전부 「공공서비스(혜택) 정보」 「특수교육대상학생 방과후학교지원」(강원특별자치도교육청, 2026-06-04 수정, 780000000012) · 강원 특수교육지원센터 운영계획 「방과후학교 운영 계획」(2026-03-27, gwe.go.kr bbsSn=50566)</t>
  </si>
  <si>
    <t>경상남도</t>
  </si>
  <si>
    <t>치료지원 — 치료지원 전자카드 (지침상 「치료지원비 전자카드」)</t>
  </si>
  <si>
    <t>1인당 월 15만 원 한도로 치료지원비를 지원합니다. 전자카드에 매월 충전되거나 영수증으로 청구합니다. 병·의원의 물리치료 · 작업치료 · 청능훈련과, 발달재활치료기관의 언어 · 미술 · 놀이 · 음악재활, 재활심리, 운동 · 감각 · 행동재활, 보행시기능훈련이 대상입니다. 복지부 발달재활서비스는 물리·작업치료를 지원하지 않으므로, 두 제도가 메우는 칸이 다릅니다.</t>
  </si>
  <si>
    <t>• 치료지원 신청서
• 개인정보 수집·이용 동의서
• 의사진단서 (병·의원 치료 시, 해당자)
• 병·의원 치료지원 영수증 (영수증으로 청구할 때, 해당자)</t>
  </si>
  <si>
    <t>행정안전부 「공공서비스(혜택) 정보」 「특수교육대상자 치료지원비 지원」(경상남도교육청, 2026-08-10 수정, 901000000012) · 경상남도교육청 특수교육 지원 안내(gne.go.kr q_bbsSn=1568) — 「치료지원 전자카드」 월 15만 원</t>
  </si>
  <si>
    <t>통학비 지원</t>
  </si>
  <si>
    <t>학교와 집 사이 편도 2km 이상(유 · 초등은 도심지 시내버스 2구간 이상)이고, 학교 통학버스가 아니라 시 · 내외버스나 자가용으로 통학하는 특수교육대상자와 보호자에게 버스 요금 또는 자가용 유류비를 지원합니다. 특수학교 기숙사에 들어간 학생은 조 · 석식 숙식비를 따로 지원합니다(1년 200일 기준).</t>
  </si>
  <si>
    <t>• 통학비 지원 신청서 (학교에서 받음)
• 가족관계 증빙 (주민등록등본 · 가족관계증명서 등)</t>
  </si>
  <si>
    <t>행정안전부 「공공서비스(혜택) 정보」 「특수교육대상자 통학비 지원」(901000000008) · 「특수교육대상자 숙식비 지원」(901000000009) (경상남도교육청, 2026-08-05 수정)</t>
  </si>
  <si>
    <t>특기적성교육비 지원 — 특기적성교육비 전자카드 (지침상 「특기적성교육지원카드」)</t>
  </si>
  <si>
    <t>특수교육대상자로 선정된 아동
학교급 — 유치원 · 초등학교 · 중학교 · 고등학교</t>
  </si>
  <si>
    <t>유 · 초 · 중 · 고 · 특수학교 특수교육대상자에게 1인당 월 12만 원 한도로 특기적성교육비를 전자카드로 지원합니다. 예 · 체능, 직업 관련 학원 · 교습소 등 가맹점에서 씁니다. 특수학교 전공과 학생과 저소득층 방과후학교 자유수강권을 받는 학생은 제외됩니다. 치료지원과는 카드가 따로입니다.</t>
  </si>
  <si>
    <t>• 특기적성교육비 지원 신청서 (학교에서 받음)
• 가족관계 증빙 (주민등록등본 · 가족관계증명서 등)
• 특기적성교육기관 사업자등록증 사본</t>
  </si>
  <si>
    <t>행정안전부 「공공서비스(혜택) 정보」 「특수교육대상자 특기적성교육비 지원」(경상남도교육청, 2026-08-05 수정, 901000000007) · 경상남도교육청 특수교육 지원 안내(gne.go.kr q_bbsSn=1568) — 2026학년도 월 12만 원</t>
  </si>
  <si>
    <t>선정·배치 신청 — 준비 서류</t>
  </si>
  <si>
    <t>신청 상황마다 서류가 다릅니다. 「먼저」는 다른 기관에서 받아 와야 하는 서류로, 빠지면 신청이 되돌아갑니다.</t>
  </si>
  <si>
    <t>신청 상황</t>
  </si>
  <si>
    <t>먼저</t>
  </si>
  <si>
    <t>서류</t>
  </si>
  <si>
    <t>누가</t>
  </si>
  <si>
    <t>어디서 받나 (발급처)</t>
  </si>
  <si>
    <t>교육청 서식 번호</t>
  </si>
  <si>
    <t>신규 선정</t>
  </si>
  <si>
    <t>선정·배치 신청자 명단 (엑셀)</t>
  </si>
  <si>
    <t>학교 · 담당자 취합</t>
  </si>
  <si>
    <t>담당자·학교가 취합합니다. 보호자가 준비할 서류가 아닙니다 (확인 필요)</t>
  </si>
  <si>
    <t>—</t>
  </si>
  <si>
    <t>진단·평가 의뢰서</t>
  </si>
  <si>
    <t>보호자 준비</t>
  </si>
  <si>
    <t>신청처에서 서식을 받아 작성합니다 (확인 필요)</t>
  </si>
  <si>
    <t>서식 3</t>
  </si>
  <si>
    <t>기초조사 서류</t>
  </si>
  <si>
    <t>보호자용은 직접 작성하시고, 담임교사용은 학교에 요청합니다</t>
  </si>
  <si>
    <t>서식 4·5 (보호자용 / 담임교사용)</t>
  </si>
  <si>
    <t>배치 신청서</t>
  </si>
  <si>
    <t>서식 번호 미확인</t>
  </si>
  <si>
    <t>학교장 의견서 또는 장애인증명서·복지카드 중 택 1</t>
  </si>
  <si>
    <t>둘 중 하나를 준비합니다 — 재학(예정) 학교에서 「학교장 의견서」, 또는 읍면동 행정복지센터에서 「장애인증명서·복지카드」</t>
  </si>
  <si>
    <t>개인정보 수집·이용 및 제공 동의서</t>
  </si>
  <si>
    <t>신청처에서 서식을 받아 서명합니다 (확인 필요)</t>
  </si>
  <si>
    <t>서식 12</t>
  </si>
  <si>
    <t>상급학교 진학 배치</t>
  </si>
  <si>
    <t>상급학교 배치 의뢰자 명단 (엑셀)</t>
  </si>
  <si>
    <t>상급학교 배치 신청서</t>
  </si>
  <si>
    <t>서식 8</t>
  </si>
  <si>
    <t>이전 배치 결과통지서 사본</t>
  </si>
  <si>
    <t>이전에 받으신 배치 결과통지서를 복사해 오시면 됩니다</t>
  </si>
  <si>
    <t>전학 · 재배치</t>
  </si>
  <si>
    <t>재배치(배치변경) 신청서</t>
  </si>
  <si>
    <t>서식 7</t>
  </si>
  <si>
    <t>취학유예 · 면제</t>
  </si>
  <si>
    <t>취학유예·면제 승인 신청서</t>
  </si>
  <si>
    <t>서식 10</t>
  </si>
  <si>
    <t>의사 진단서 (최근 3개월 이내)</t>
  </si>
  <si>
    <t>병원에서 발급받습니다 (최근 3개월 이내)</t>
  </si>
  <si>
    <t>재취학</t>
  </si>
  <si>
    <t>재취학 신청서</t>
  </si>
  <si>
    <t>서식 11</t>
  </si>
  <si>
    <t>서식 2</t>
  </si>
  <si>
    <t>서식 3·4 (보호자용 / 담임교사용) · 서식 6 (건강장애)</t>
  </si>
  <si>
    <t>서식 13</t>
  </si>
  <si>
    <t>기한과 놓치기 쉬운 갈림길</t>
  </si>
  <si>
    <t>기한은 특수교육법·시도 지침 기준입니다. 생년월일이 있으면 화면에서 날짜로 계산됩니다.</t>
  </si>
  <si>
    <t>항목</t>
  </si>
  <si>
    <t>기한</t>
  </si>
  <si>
    <t>진단·평가 실시</t>
  </si>
  <si>
    <t>교육장이 회부한 날로부터 30일 이내</t>
  </si>
  <si>
    <t>선정·배치 결과 통보</t>
  </si>
  <si>
    <t>진단·평가 결과보고 후 2주 이내</t>
  </si>
  <si>
    <t>배치 희망교 작성</t>
  </si>
  <si>
    <t>3지망까지 작성 — 미작성 시 특수교육운영위원회 심사에 따라 임의 배치</t>
  </si>
  <si>
    <t>배치일</t>
  </si>
  <si>
    <t>다음 학년도 3월 1일</t>
  </si>
  <si>
    <t>개별화교육계획(IEP) 송부</t>
  </si>
  <si>
    <t>전출일로부터 14일 이내에 전출교가 전입교로 송부</t>
  </si>
  <si>
    <t>고등학교 계열 변경 전·편입학</t>
  </si>
  <si>
    <t>2학년 1학기 성적산출 직전까지 가능 — 교육과정 미이수 시 불이익을 보호자에게 안내</t>
  </si>
  <si>
    <t>다음 학년도 재취학 여부 확인</t>
  </si>
  <si>
    <t>12월 말</t>
  </si>
  <si>
    <t>취학유예 기간</t>
  </si>
  <si>
    <t>1년 이내 — 연장은 운영위원회 심의</t>
  </si>
  <si>
    <t>재취학 여부 확인</t>
  </si>
  <si>
    <t>각급학교장·교육장이 12월 말에 보호자에게 확인</t>
  </si>
  <si>
    <t>(공통) 만 9세 단절</t>
  </si>
  <si>
    <t>발달지체 특수교육대상자 지위 종료</t>
  </si>
  <si>
    <t>만 9세가 되는 달 말일까지 유지 후 종료 — 그 전에 재진단·재선정 (교육청)</t>
  </si>
  <si>
    <t>장애 등록 없이 받는 발달재활서비스 종료</t>
  </si>
  <si>
    <t>만 9세가 되는 달까지 — 장애 등록을 하면 만 18세 미만까지 이어짐 (복지부)</t>
  </si>
  <si>
    <t>(강원) 교육청 지원</t>
  </si>
  <si>
    <t>치료지원 · 방과후학교 지원 신청</t>
  </si>
  <si>
    <t>매년 3월 (이용계획서 등록·승인 → 마음모아카드 발급)</t>
  </si>
  <si>
    <t>(경남) 교육청 지원</t>
  </si>
  <si>
    <t>치료지원비 · 특기적성교육비 · 통학비</t>
  </si>
  <si>
    <t>상시 신청 (소속 학교)</t>
  </si>
  <si>
    <t>전국 공통 번호와 시도교육청 대표 번호입니다. 실제 신청은 관할 교육지원청 특수교육지원센터에서 합니다. 개인 직통번호는 넣지 않습니다.</t>
  </si>
  <si>
    <t>무엇을 묻나</t>
  </si>
  <si>
    <t>전화</t>
  </si>
  <si>
    <t>기관</t>
  </si>
  <si>
    <t>주소 · 목록</t>
  </si>
  <si>
    <t>교육청 지원제도 (선정·배치 · 치료지원 등)</t>
  </si>
  <si>
    <t>033-258-5390</t>
  </si>
  <si>
    <t>강원특별자치도교육청 문화체육특수교육과 특수교육팀</t>
  </si>
  <si>
    <t>https://www.gwe.go.kr/main/content.do?key=bTIzMDcyMTEyMDY0NTg%3D</t>
  </si>
  <si>
    <t>055-268-1140</t>
  </si>
  <si>
    <t>경상남도교육청 유아특수교육과</t>
  </si>
  <si>
    <t>https://www.gne.go.kr/www/office/eduguide.jsp</t>
  </si>
  <si>
    <t>전국 공통</t>
  </si>
  <si>
    <t>발달재활서비스 · 장애아동수당 · 방과후활동서비스</t>
  </si>
  <si>
    <t>129</t>
  </si>
  <si>
    <t>보건복지상담센터 (4번 장애인)</t>
  </si>
  <si>
    <t>https://www.129.go.kr</t>
  </si>
  <si>
    <t>발달재활서비스 바우처 카드</t>
  </si>
  <si>
    <t>1566-3232</t>
  </si>
  <si>
    <t>사회서비스 전자바우처</t>
  </si>
  <si>
    <t>https://www.socialservice.or.kr:444/</t>
  </si>
  <si>
    <t>장애정도 심사 진행</t>
  </si>
  <si>
    <t>1355</t>
  </si>
  <si>
    <t>국민연금공단</t>
  </si>
  <si>
    <t>발달장애인 방과후활동서비스</t>
  </si>
  <si>
    <t>1588-5921</t>
  </si>
  <si>
    <t>중앙장애아동·발달장애인지원센터</t>
  </si>
  <si>
    <t>https://www.broso.or.kr</t>
  </si>
  <si>
    <t>장애인 등록 · 복지 제도 신청</t>
  </si>
  <si>
    <t>주소지 읍·면·동 행정복지센터</t>
  </si>
  <si>
    <t>지역 자체사업 — 복지로 등록 목록 (후보)</t>
  </si>
  <si>
    <t>한국사회보장정보원 「지자체복지서비스」 API, 장애인(040) 대상, 2026-10-17 조회. 규칙이 고른 목록이 아니므로 대상 여부는 확인이 필요합니다. 경남은 인기순 상위 50건.</t>
  </si>
  <si>
    <t>시도</t>
  </si>
  <si>
    <t>시·군</t>
  </si>
  <si>
    <t>사업</t>
  </si>
  <si>
    <t>요약</t>
  </si>
  <si>
    <t>생애주기</t>
  </si>
  <si>
    <t>신청 방법</t>
  </si>
  <si>
    <t>담당 부서</t>
  </si>
  <si>
    <t>최종 수정</t>
  </si>
  <si>
    <t>복지로 상세</t>
  </si>
  <si>
    <t>춘천시</t>
  </si>
  <si>
    <t>발달재활서비스지원 (시자체사업)</t>
  </si>
  <si>
    <t>장애아동 재활치료 바우처사업(국고보조사업)에서 소득기준초과로 제외된 장애아동의 재활치료비용을 지원함으로써 장애아동의 재활을 지원하고 장애아동 가정의 경제적 부담을 경감하고자 함.</t>
  </si>
  <si>
    <t>아동, 청소년</t>
  </si>
  <si>
    <t>방문</t>
  </si>
  <si>
    <t>강원특별자치도 춘천시 복지국 장애인복지과</t>
  </si>
  <si>
    <t>2025.06.19</t>
  </si>
  <si>
    <t>https://www.bokjiro.go.kr/ssis-tbu/twataa/wlfareInfo/moveTWAT52011M.do?wlfareInfoId=WLF00003581&amp;wlfareInfoReldBztpCd=02</t>
  </si>
  <si>
    <t>원주시</t>
  </si>
  <si>
    <t>저소득층 상수도 사용료 감면사업</t>
  </si>
  <si>
    <t>수급자 가구의 상수도 사용료 감면을 통한 생활안정 도모</t>
  </si>
  <si>
    <t>강원특별자치도 원주시 상하수도사업소 경영관리과</t>
  </si>
  <si>
    <t>2026.08.25</t>
  </si>
  <si>
    <t>https://www.bokjiro.go.kr/ssis-tbu/twataa/wlfareInfo/moveTWAT52011M.do?wlfareInfoId=WLF00004558&amp;wlfareInfoReldBztpCd=02</t>
  </si>
  <si>
    <t>홍천군</t>
  </si>
  <si>
    <t>독거 중증장애인 활동보조 가산수당 지원</t>
  </si>
  <si>
    <t>와상의 독거중증장애인의 경우 활동보조인의 육체적, 정신적 고충으로 기피현상이 높음. 이에 활동보조인에게 가산수당을 지급하여 기피현상을 완화하고 수급자와 활동보조인의 만족도 제고</t>
  </si>
  <si>
    <t>강원특별자치도 홍천군 행정복지국 행복나눔과</t>
  </si>
  <si>
    <t>2026.09.04</t>
  </si>
  <si>
    <t>https://www.bokjiro.go.kr/ssis-tbu/twataa/wlfareInfo/moveTWAT52011M.do?wlfareInfoId=WLF00002890&amp;wlfareInfoReldBztpCd=02</t>
  </si>
  <si>
    <t>속초시</t>
  </si>
  <si>
    <t>발달장애아동 지원사업</t>
  </si>
  <si>
    <t>장애아동재활치료바우처 사업에서 제외된 장애아동에게 재활치료 비용지원으로 부모의 경제적 부담 경감시키고
장애아동 기능을 향상시키고자 함</t>
  </si>
  <si>
    <t>영유아, 아동, 청소년</t>
  </si>
  <si>
    <t>강원특별자치도 속초시 경제복지국 경로장애인과</t>
  </si>
  <si>
    <t>2026.08.19</t>
  </si>
  <si>
    <t>https://www.bokjiro.go.kr/ssis-tbu/twataa/wlfareInfo/moveTWAT52011M.do?wlfareInfoId=WLF00003156&amp;wlfareInfoReldBztpCd=02</t>
  </si>
  <si>
    <t>삼척시</t>
  </si>
  <si>
    <t>장애인 안전손잡이 설치 지원 사업</t>
  </si>
  <si>
    <t>거동이 불편한 장애인들에게 집안에서 활동 시 몸을 지지할 수 있는 안전손잡이 설치를 지원하여 장애인의 자립생활 및 안전사고예방에 이바지하고자 함</t>
  </si>
  <si>
    <t>노년, 중장년, 아동, 영유아, 청년, 청소년</t>
  </si>
  <si>
    <t>강원특별자치도 삼척시 자치행정국 사회복지과</t>
  </si>
  <si>
    <t>2026.08.20</t>
  </si>
  <si>
    <t>https://www.bokjiro.go.kr/ssis-tbu/twataa/wlfareInfo/moveTWAT52011M.do?wlfareInfoId=WLF00003293&amp;wlfareInfoReldBztpCd=02</t>
  </si>
  <si>
    <t>중증장애인 지역연계형 일자리사업</t>
  </si>
  <si>
    <t>지역내 비영리기관과의 협업을 통하여 춘천시 중증장애인에게 일자리를 제공함으로써 장애인의 자립생활 기반을 지원하고 사회참여에 기여하는 사업입니다.</t>
  </si>
  <si>
    <t>중장년, 청년, 노년</t>
  </si>
  <si>
    <t>https://www.bokjiro.go.kr/ssis-tbu/twataa/wlfareInfo/moveTWAT52011M.do?wlfareInfoId=WLF00005666&amp;wlfareInfoReldBztpCd=02</t>
  </si>
  <si>
    <t>도 전체</t>
  </si>
  <si>
    <t>장애인활동지원 추가지원</t>
  </si>
  <si>
    <t>장애인의 자립생활과 사회참여 증진 도모</t>
  </si>
  <si>
    <t>아동, 중장년, 청소년, 청년</t>
  </si>
  <si>
    <t>강원도 복지국 장애인복지과</t>
  </si>
  <si>
    <t>2026.07.10</t>
  </si>
  <si>
    <t>https://www.bokjiro.go.kr/ssis-tbu/twataa/wlfareInfo/moveTWAT52011M.do?wlfareInfoId=WLF00004082&amp;wlfareInfoReldBztpCd=02</t>
  </si>
  <si>
    <t>어린이집 입학준비금 지원(저소득층 아동 입학준비금 지원)</t>
  </si>
  <si>
    <t>어린이집에 다니는 국민기초수급자, 다문화, 장애인, 둘째아 이상 자녀에 대한 입학준비금을 지원하여 학부모 보육부담 경감</t>
  </si>
  <si>
    <t>영유아</t>
  </si>
  <si>
    <t>강원도 복지국 복지정책과</t>
  </si>
  <si>
    <t>2026.08.04</t>
  </si>
  <si>
    <t>https://www.bokjiro.go.kr/ssis-tbu/twataa/wlfareInfo/moveTWAT52011M.do?wlfareInfoId=WLF00001872&amp;wlfareInfoReldBztpCd=02</t>
  </si>
  <si>
    <t>평창군</t>
  </si>
  <si>
    <t>뇌병변 장애인 대소변흡수용품(기저귀) 구입비용 지원</t>
  </si>
  <si>
    <t>상시 대소변 흡수용품을 사용해야하는 뇌병변 장애인 및 가족에게 지원하여 생활의 불편함과 경제적 부담 경감</t>
  </si>
  <si>
    <t>영유아, 아동, 중장년, 청소년, 청년</t>
  </si>
  <si>
    <t>강원특별자치도 평창군 행정지원국 복지정책과</t>
  </si>
  <si>
    <t>https://www.bokjiro.go.kr/ssis-tbu/twataa/wlfareInfo/moveTWAT52011M.do?wlfareInfoId=WLF00005313&amp;wlfareInfoReldBztpCd=02</t>
  </si>
  <si>
    <t>정선군</t>
  </si>
  <si>
    <t>취약계층 상수도 사용료 지원</t>
  </si>
  <si>
    <t>취약계층(기초수급자, 중증장애인, 한부모가족, 다자녀, 국가보훈대상자)가구의 상하수도 요금을 감면 지원 함으로써 생활안정을 도모하고자 함</t>
  </si>
  <si>
    <t>강원특별자치도 정선군 행정국 복지과</t>
  </si>
  <si>
    <t>2026.08.12</t>
  </si>
  <si>
    <t>https://www.bokjiro.go.kr/ssis-tbu/twataa/wlfareInfo/moveTWAT52011M.do?wlfareInfoId=WLF00003729&amp;wlfareInfoReldBztpCd=02</t>
  </si>
  <si>
    <t>장애인 고용촉진장려금 지원</t>
  </si>
  <si>
    <t>장애인 고용 사업주에 대한 재정지원을 통하여 장애인 일자리 확대 및 소득보장 지원</t>
  </si>
  <si>
    <t>방문, 팩스, E-mail, 우편</t>
  </si>
  <si>
    <t>강원특별자치도 복지국 장애인복지과</t>
  </si>
  <si>
    <t>2026.06.30</t>
  </si>
  <si>
    <t>https://www.bokjiro.go.kr/ssis-tbu/twataa/wlfareInfo/moveTWAT52011M.do?wlfareInfoId=WLF00003347&amp;wlfareInfoReldBztpCd=02</t>
  </si>
  <si>
    <t>동해시</t>
  </si>
  <si>
    <t>장애인 위치추적기 구입 지원(단말기 및 통신비)</t>
  </si>
  <si>
    <t>○ 지적·자폐성 장애인, 실종 이력 장애인의 실종·가출사고 예방을 위한 장애인위치추척기 구입· 지원(단말기 및 통신비)</t>
  </si>
  <si>
    <t>강원특별자치도 동해시 행정복지국 복지과</t>
  </si>
  <si>
    <t>https://www.bokjiro.go.kr/ssis-tbu/twataa/wlfareInfo/moveTWAT52011M.do?wlfareInfoId=WLF00005490&amp;wlfareInfoReldBztpCd=02</t>
  </si>
  <si>
    <t>장애인활동지원사업 춘천시자체사업</t>
  </si>
  <si>
    <t>종합조사 기능제한영역 성인 58~114점, 아동45~88점 중 사회활동영역 또는 가구환경영역 12점 이상인 자,
장애정도가 심한 장애인 2인이상 가구,
활동지원 구간 1~7구간(발달장애인 1~12구간)</t>
  </si>
  <si>
    <t>청소년, 청년, 아동, 중장년</t>
  </si>
  <si>
    <t>방문, 우편</t>
  </si>
  <si>
    <t>https://www.bokjiro.go.kr/ssis-tbu/twataa/wlfareInfo/moveTWAT52011M.do?wlfareInfoId=WLF00003601&amp;wlfareInfoReldBztpCd=02</t>
  </si>
  <si>
    <t>춘천형 노인통합돌봄사업</t>
  </si>
  <si>
    <t>- 사 업 명: 춘천형 노인통합돌봄사업
- 목    적: 노인들이 살던 곳에서 건강한 노후를 지낼 수 있도록 보건복지 통합돌봄 서비스를 제공하여 지역사회 통합돌봄 체계를 강화하고 노인의 삶의 질 향상에 기여함 
- 주요내용
   ∙ 지원대상: 질병 및 보호자 부재로 돌봄이 필요한 만65세이상 춘천시민
      󰋼 혼자 거동하기 어렵거나 독립적 일상생활 수행 어려운 경우
      󰋼 돌봄(수발)할 수 있는 가족 등이 없거나 돌봄(수발)할 수 없는 경우
      󰋼 공적 돌봄서비스를 이용하지 않거나 서비스 이용 중 불가피한 공백 발생한 경우
    ∙ 지원내용: 식생활돌봄, 일상생활돌봄, 주거돌봄, 의료돌봄, 스마트돌봄 등 노인통합돌봄서비스</t>
  </si>
  <si>
    <t>노년</t>
  </si>
  <si>
    <t>전화, 방문</t>
  </si>
  <si>
    <t>강원특별자치도 춘천시 복지국 통합돌봄과</t>
  </si>
  <si>
    <t>2026.07.17</t>
  </si>
  <si>
    <t>https://www.bokjiro.go.kr/ssis-tbu/twataa/wlfareInfo/moveTWAT52011M.do?wlfareInfoId=WLF00005308&amp;wlfareInfoReldBztpCd=02</t>
  </si>
  <si>
    <t>인제군</t>
  </si>
  <si>
    <t>장애인직업재활시설 근로장애인 생산장려금 지원</t>
  </si>
  <si>
    <t>취업이 어려운 중증장애인들에게 보호가 가능한 조건에서 근로의 기회를 제공하고 직업재활훈련을 통해 경쟁적인 고용시장으로 옮겨나갈 수 있도록 돕는 장애인직업재활시설은 보수여건이 매우 열악하므로 근로장애인에게 생산장려금 지원을 통해 근로의욕 고취 및 자립생활능력 양성 필요</t>
  </si>
  <si>
    <t>노년, 중장년, 청년</t>
  </si>
  <si>
    <t>강원특별자치도 인제군 행정복지국 주민복지과</t>
  </si>
  <si>
    <t>2026.06.19</t>
  </si>
  <si>
    <t>https://www.bokjiro.go.kr/ssis-tbu/twataa/wlfareInfo/moveTWAT52011M.do?wlfareInfoId=WLF00003701&amp;wlfareInfoReldBztpCd=02</t>
  </si>
  <si>
    <t>홍천군 대상포진 예방접종 지원</t>
  </si>
  <si>
    <t>홍천군 주민을 대상으로 대상포진 예방접종을 실시하여 질병에 따른 경제적 부담을 줄이고 군민의 건강증진을 도모하는 것을 목적으로 함</t>
  </si>
  <si>
    <t>강원특별자치도 홍천군 보건소</t>
  </si>
  <si>
    <t>2026.07.23</t>
  </si>
  <si>
    <t>https://www.bokjiro.go.kr/ssis-tbu/twataa/wlfareInfo/moveTWAT52011M.do?wlfareInfoId=WLF00002997&amp;wlfareInfoReldBztpCd=02</t>
  </si>
  <si>
    <t>저소득 중증장애인가구 유선방송료 지원</t>
  </si>
  <si>
    <t>저소득 중증장애인가구를 대상으로 시청권 보장을 위하여 유선방송료 지원함.</t>
  </si>
  <si>
    <t>https://www.bokjiro.go.kr/ssis-tbu/twataa/wlfareInfo/moveTWAT52011M.do?wlfareInfoId=WLF00003374&amp;wlfareInfoReldBztpCd=02</t>
  </si>
  <si>
    <t>춘천형 권리중심 중증장애인 공공일자리사업</t>
  </si>
  <si>
    <t>춘천시에 거주하는 중증장애인을 위한 "춘천형 권리중심 중증장애인 공공일자리를 사업"으로 장애인의 자립생활 기반을 지원하고 사회참여 확대에 기여하는 사업입니다.</t>
  </si>
  <si>
    <t>노년, 청년, 중장년</t>
  </si>
  <si>
    <t>https://www.bokjiro.go.kr/ssis-tbu/twataa/wlfareInfo/moveTWAT52011M.do?wlfareInfoId=WLF00005665&amp;wlfareInfoReldBztpCd=02</t>
  </si>
  <si>
    <t>장애인비급여보장구 구입 및 수리비 지원</t>
  </si>
  <si>
    <t>장애인이 사용하는 보장기구중 노후보장구 수리 지원으로 이동권 보장</t>
  </si>
  <si>
    <t>강원특별자치도 화천군 주민복지과</t>
  </si>
  <si>
    <t>2026.07.31</t>
  </si>
  <si>
    <t>https://www.bokjiro.go.kr/ssis-tbu/twataa/wlfareInfo/moveTWAT52011M.do?wlfareInfoId=WLF00003801&amp;wlfareInfoReldBztpCd=02</t>
  </si>
  <si>
    <t>화천군</t>
  </si>
  <si>
    <t>시각장애인생활이동지원센터 운영</t>
  </si>
  <si>
    <t>장애인에게 차량운행, 기타 이동서비스 제공을 통한 일상생활의 편리제공 및 사회활동 기회 확대</t>
  </si>
  <si>
    <t>청소년, 청년, 아동, 영유아, 노년, 중장년</t>
  </si>
  <si>
    <t>방문, 전화</t>
  </si>
  <si>
    <t>https://www.bokjiro.go.kr/ssis-tbu/twataa/wlfareInfo/moveTWAT52011M.do?wlfareInfoId=WLF00003802&amp;wlfareInfoReldBztpCd=02</t>
  </si>
  <si>
    <t>기초수급자 및 장애인 등 수도감면</t>
  </si>
  <si>
    <t>기초수급자 및 장애인 상하수도요금 감면</t>
  </si>
  <si>
    <t>방문, E-mail, 팩스, 우편</t>
  </si>
  <si>
    <t>강원특별자치도 홍천군 상하수도사업소</t>
  </si>
  <si>
    <t>https://www.bokjiro.go.kr/ssis-tbu/twataa/wlfareInfo/moveTWAT52011M.do?wlfareInfoId=WLF00002046&amp;wlfareInfoReldBztpCd=02</t>
  </si>
  <si>
    <t>신장장애인 혈액 및 복막투석비 지원</t>
  </si>
  <si>
    <t>화천군에 거주하는 신장장애인의 생활안정 및 건강증진을 위하여 혈액 및 복막투석비의 지원</t>
  </si>
  <si>
    <t>https://www.bokjiro.go.kr/ssis-tbu/twataa/wlfareInfo/moveTWAT52011M.do?wlfareInfoId=WLF00003800&amp;wlfareInfoReldBztpCd=02</t>
  </si>
  <si>
    <t>양양군</t>
  </si>
  <si>
    <t>저소득층 국민건강보험료대납</t>
  </si>
  <si>
    <t>양양군에 주민등록이 있는 주민 중에서 저소득 등의 이유로 「국민건강보험법」에 따른 건강보험료와 「노인장기요양보험법」에 따른 장기요양보험료 납부에 어려움을 겪는 저소득 주민에게 건강보험료와 장기요양보험료를 지원함으로써 주민의 건강보호와 복지향상을 도모함</t>
  </si>
  <si>
    <t>강원특별자치도 양양군 기획재정국 복지정책과</t>
  </si>
  <si>
    <t>https://www.bokjiro.go.kr/ssis-tbu/twataa/wlfareInfo/moveTWAT52011M.do?wlfareInfoId=WLF00002030&amp;wlfareInfoReldBztpCd=02</t>
  </si>
  <si>
    <t>공공산후조리원 이용료 지원 사업</t>
  </si>
  <si>
    <t>산부인과가 없는 강원도 양양군 출산모 및 취약계층(모자보건법 시행령 감면대상)에게 공공산후조리원 이용료를 지원하여 출산가정에 경제적 부담을 경감하고 출산장려에 기여하고자 함.</t>
  </si>
  <si>
    <t>영유아, 중장년, 청년</t>
  </si>
  <si>
    <t>강원특별자치도 양양군 육아지원센터</t>
  </si>
  <si>
    <t>2025.08.06</t>
  </si>
  <si>
    <t>https://www.bokjiro.go.kr/ssis-tbu/twataa/wlfareInfo/moveTWAT52011M.do?wlfareInfoId=WLF00005700&amp;wlfareInfoReldBztpCd=02</t>
  </si>
  <si>
    <t>장애인 보장구 수리비 지원</t>
  </si>
  <si>
    <t>생활이 어려운 장애인에게 보장구 수리비 지원을 통하여 경제적 부담을 경감하고 도로주행에 따른 안전 확보</t>
  </si>
  <si>
    <t>https://www.bokjiro.go.kr/ssis-tbu/twataa/wlfareInfo/moveTWAT52011M.do?wlfareInfoId=WLF00003522&amp;wlfareInfoReldBztpCd=02</t>
  </si>
  <si>
    <t>중증장애인 강원형 일자리 지원</t>
  </si>
  <si>
    <t>기존에 추진하고 있는 장애인일자리 지원사업 조차도 참여가 어려운 중증장애인을 위한 맞춤형 중증장애인 일자리를 제공함으로써 장애인의 자립생활 기반 지원 및 사회참여 확대 기여</t>
  </si>
  <si>
    <t>방문, E-mail</t>
  </si>
  <si>
    <t>강원특별자치도 복지보건국 장애인복지과</t>
  </si>
  <si>
    <t>https://www.bokjiro.go.kr/ssis-tbu/twataa/wlfareInfo/moveTWAT52011M.do?wlfareInfoId=WLF00005472&amp;wlfareInfoReldBztpCd=02</t>
  </si>
  <si>
    <t>저소득 중증장애인가구 유료방송 이용요금 지원</t>
  </si>
  <si>
    <t>○ 저소득 중증장애인 가구의 경제적인 부담 경감과 외부환경에 대한 다양한 정보제공
○ 보편적  시청권 보장과 정보격차 해소 및 생활안정 도모에 기여하고자 함</t>
  </si>
  <si>
    <t>중장년, 노년, 아동, 영유아, 청소년, 청년</t>
  </si>
  <si>
    <t>https://www.bokjiro.go.kr/ssis-tbu/twataa/wlfareInfo/moveTWAT52011M.do?wlfareInfoId=WLF00002029&amp;wlfareInfoReldBztpCd=02</t>
  </si>
  <si>
    <t>취약계층 의치보철  지원 사업</t>
  </si>
  <si>
    <t>구강질환으로 치아가 결손되어 음식물 섭취가 자유롭지 못한 저소득 취약계층을 대상으로 의치보철을 지원하여 구강기능 회복에 기여하고자 함</t>
  </si>
  <si>
    <t>노년, 중장년</t>
  </si>
  <si>
    <t>2026.07.11</t>
  </si>
  <si>
    <t>https://www.bokjiro.go.kr/ssis-tbu/twataa/wlfareInfo/moveTWAT52011M.do?wlfareInfoId=WLF00002977&amp;wlfareInfoReldBztpCd=02</t>
  </si>
  <si>
    <t>버스공영제 추진 무료이용 교통카드 지원</t>
  </si>
  <si>
    <t>정선군민의 자유로운 이동권 보장</t>
  </si>
  <si>
    <t>강원특별자치도 정선군 교통관리사업소</t>
  </si>
  <si>
    <t>https://www.bokjiro.go.kr/ssis-tbu/twataa/wlfareInfo/moveTWAT52011M.do?wlfareInfoId=WLF00003874&amp;wlfareInfoReldBztpCd=02</t>
  </si>
  <si>
    <t>고성군</t>
  </si>
  <si>
    <t>장애인 보장구 수리 지원</t>
  </si>
  <si>
    <t>장애인의 주요 이동수단인 휠체어, 전동스쿠터 수리 및 소모품 교체비
 지원으로 생활이 어려운 장애인에게 경제적 부담경감 및 원활한 사회
 활동을 영위하도록 지원하고자 함
  ❍ 지원대상
     - 장애인복지법 제32조 등록 장애인
     - 국민기초생활보장수급자 및 차상위계층 대상자
        행복e-음 자료를 통해 대상자 확인
  ❍ 지원범위 : 보장구 수리비, 배터리 지원 등
  ❍ 보장구 종류 : 전동(수동)휠체어, 전동스쿠터 등
  ❍ 예산금액 : 2,000천원(군비)
  ❍ 지원금액 : 1인당 30만원 한도내 지원(※ 1년 이내)
      ※ 초과비용 : 본인 부담</t>
  </si>
  <si>
    <t>강원특별자치도 고성군 행정복지국 복지과</t>
  </si>
  <si>
    <t>https://www.bokjiro.go.kr/ssis-tbu/twataa/wlfareInfo/moveTWAT52011M.do?wlfareInfoId=WLF00003396&amp;wlfareInfoReldBztpCd=02</t>
  </si>
  <si>
    <t>장애인 무료순환버스 운영</t>
  </si>
  <si>
    <t>대중교통수단이 민간업체에 의해 운영되고 있어 편의시설 설치 기피와 철도 및 여객터미널 등 편의시설이 
설치되었더라도 접근이 어려운 현실을 감안하여 리프트가 장착된 특장차 운행으로 장애인등의 이동편의 증진
및 사회참여 확대 도모</t>
  </si>
  <si>
    <t>https://www.bokjiro.go.kr/ssis-tbu/twataa/wlfareInfo/moveTWAT52011M.do?wlfareInfoId=WLF00000319&amp;wlfareInfoReldBztpCd=02</t>
  </si>
  <si>
    <t>장애인 보장구 수리비 지원사업</t>
  </si>
  <si>
    <t>장애인이 사용하는 보장구의 비급여 수리비용을 지원하여 지속적이고 안정적으로 보장구를 사용할 수 있는 환경을 조성함으로써, 장애인의 기본적인 이동권을 확보하고 그에 따른 사회활동 참여를 증진하고자 함</t>
  </si>
  <si>
    <t>노년, 아동, 청소년, 청년, 중장년, 영유아</t>
  </si>
  <si>
    <t>https://www.bokjiro.go.kr/ssis-tbu/twataa/wlfareInfo/moveTWAT52011M.do?wlfareInfoId=WLF00006043&amp;wlfareInfoReldBztpCd=02</t>
  </si>
  <si>
    <t>양구군</t>
  </si>
  <si>
    <t>저소득장애인 보장구 수리지원</t>
  </si>
  <si>
    <t>저소득장애인에게 보장구 수리비를 지원함으로써 장애인의 경제적 부담 경감 및 사회활동 지원</t>
  </si>
  <si>
    <t>강원특별자치도 양구군 행정복지국 사회복지과</t>
  </si>
  <si>
    <t>https://www.bokjiro.go.kr/ssis-tbu/twataa/wlfareInfo/moveTWAT52011M.do?wlfareInfoId=WLF00003595&amp;wlfareInfoReldBztpCd=02</t>
  </si>
  <si>
    <t>장애인직업재활시설 훈련장애인 근로보조수당지원</t>
  </si>
  <si>
    <t>장애인직업재활시설 훈련장애인 훈련의욕 유도방안 필요</t>
  </si>
  <si>
    <t>방문, 전화, E-mail, 우편</t>
  </si>
  <si>
    <t>https://www.bokjiro.go.kr/ssis-tbu/twataa/wlfareInfo/moveTWAT52011M.do?wlfareInfoId=WLF00005037&amp;wlfareInfoReldBztpCd=02</t>
  </si>
  <si>
    <t>장애인보장구 A/S지원센터 운영</t>
  </si>
  <si>
    <t>장애인의 이동편의 서비스 제공을 목적으로
전동휠체어 및 전동스쿠터 등 장애인 보조기기, 보장구 고장수리를 전담하는 A/S 지원센터를 설치하여 
이동 편의 기구 고장으로 인한 불편을 해소하여 편의 도모 및 경제적인 부담 경감</t>
  </si>
  <si>
    <t>https://www.bokjiro.go.kr/ssis-tbu/twataa/wlfareInfo/moveTWAT52011M.do?wlfareInfoId=WLF00003671&amp;wlfareInfoReldBztpCd=02</t>
  </si>
  <si>
    <t>태백시</t>
  </si>
  <si>
    <t>장애인 특별운송사업</t>
  </si>
  <si>
    <t>장애인 특별운송사업으로 장애인 이동권 보장</t>
  </si>
  <si>
    <t>아동, 영유아, 노년, 청년, 중장년, 청소년</t>
  </si>
  <si>
    <t>강원특별자치도 태백시 행정복지국 복지정책과</t>
  </si>
  <si>
    <t>https://www.bokjiro.go.kr/ssis-tbu/twataa/wlfareInfo/moveTWAT52011M.do?wlfareInfoId=WLF00000684&amp;wlfareInfoReldBztpCd=02</t>
  </si>
  <si>
    <t>저소득주민건강보험료지원</t>
  </si>
  <si>
    <t>〇 국민기초생활수급권자가 아닌 세대로 국민건강보험료 및 노인장기요양보험료(이하 보험료)의 부과금액이 최저보험료 미만인 세대
  - 주민등록상 65세 이상 노인으로 구성된 세대
  - 「장애인복지법」에 따라 등록된 장애인이 있는 세대
  - 「한부모가족지원법」에 따른 모· 부자 가족 또는 조손가족</t>
  </si>
  <si>
    <t>중장년, 노년</t>
  </si>
  <si>
    <t>https://www.bokjiro.go.kr/ssis-tbu/twataa/wlfareInfo/moveTWAT52011M.do?wlfareInfoId=WLF00003774&amp;wlfareInfoReldBztpCd=02</t>
  </si>
  <si>
    <t>강릉시</t>
  </si>
  <si>
    <t>장애인 무료셔틀버스 운영 지원</t>
  </si>
  <si>
    <t>무료셔틀버스 운영에 필요한 인건비 및 운영비 지원하여 장애인종합복지관 이용하는 이용자의 이동권 보장</t>
  </si>
  <si>
    <t>강원특별자치도 강릉시 복지민원국 경로장애인과</t>
  </si>
  <si>
    <t>https://www.bokjiro.go.kr/ssis-tbu/twataa/wlfareInfo/moveTWAT52011M.do?wlfareInfoId=WLF00005006&amp;wlfareInfoReldBztpCd=02</t>
  </si>
  <si>
    <t>저소득 장애인 국민건강보험료 지원</t>
  </si>
  <si>
    <t>평창군에 주민등록이 되어있는 취약계층인 저소득세대(장애인)에 국민건강보험료와 장기요양보험료를 지원함으로써 경제적 부담을 경감하고 사회복지서비스 향상을 도모하고자 함</t>
  </si>
  <si>
    <t>https://www.bokjiro.go.kr/ssis-tbu/twataa/wlfareInfo/moveTWAT52011M.do?wlfareInfoId=WLF00005311&amp;wlfareInfoReldBztpCd=02</t>
  </si>
  <si>
    <t>영월군</t>
  </si>
  <si>
    <t>어려운가구 지원</t>
  </si>
  <si>
    <t>저소득 취약계층인 관내 어려운 이웃을 위문을 통해 나눔으로 함께하는 따뜻한 사회분위기를 조성하기 위한 사업입니다.</t>
  </si>
  <si>
    <t>강원특별자치도 영월군 주민복지과</t>
  </si>
  <si>
    <t>2023.07.18</t>
  </si>
  <si>
    <t>https://www.bokjiro.go.kr/ssis-tbu/twataa/wlfareInfo/moveTWAT52011M.do?wlfareInfoId=WLF00002928&amp;wlfareInfoReldBztpCd=02</t>
  </si>
  <si>
    <t>시각장애인 소리신문 구독료 지원</t>
  </si>
  <si>
    <t>시각장애인에게 녹음된 소리신문을 지원함으로써,  장애인으로 하여금 알권리 제공 및 정보격차 해소</t>
  </si>
  <si>
    <t>2026.08.22</t>
  </si>
  <si>
    <t>https://www.bokjiro.go.kr/ssis-tbu/twataa/wlfareInfo/moveTWAT52011M.do?wlfareInfoId=WLF00000417&amp;wlfareInfoReldBztpCd=02</t>
  </si>
  <si>
    <t>장애인 저소득주민 건강보험료 지원</t>
  </si>
  <si>
    <t>장기요양보험료를 포함한 국민건강보험료가 보건복지부 장관이 정한 최저 월별 보험료액인자 중 저소득장애인세대 및 노인세대 보험료 대납으로 경제적부담 경감</t>
  </si>
  <si>
    <t>https://www.bokjiro.go.kr/ssis-tbu/twataa/wlfareInfo/moveTWAT52011M.do?wlfareInfoId=WLF00000386&amp;wlfareInfoReldBztpCd=02</t>
  </si>
  <si>
    <t>화천군 장애인일자리사업</t>
  </si>
  <si>
    <t>장애인의 사회참여 기회를 확대하고 적성과 능력에 맞는 일자리를 발굴하여 소득보장을 지원</t>
  </si>
  <si>
    <t>https://www.bokjiro.go.kr/ssis-tbu/twataa/wlfareInfo/moveTWAT52011M.do?wlfareInfoId=WLF00006741&amp;wlfareInfoReldBztpCd=02</t>
  </si>
  <si>
    <t>창녕군</t>
  </si>
  <si>
    <t>공공근로사업</t>
  </si>
  <si>
    <t>부서별 지역 실정에 맞는 사업을 발굴, 추진하여 저소득 실업자에게 구직기간 동안 한시적으로 공공부문에 일자리를 제공하여 생계보조를 통한 사회 안전망 역할 및 근로 기회 부여</t>
  </si>
  <si>
    <t>청년, 노년, 중장년</t>
  </si>
  <si>
    <t>경상남도 창녕군 건설산업국 일자리경제과</t>
  </si>
  <si>
    <t>https://www.bokjiro.go.kr/ssis-tbu/twataa/wlfareInfo/moveTWAT52011M.do?wlfareInfoId=WLF00003945&amp;wlfareInfoReldBztpCd=02</t>
  </si>
  <si>
    <t>경상남도 교육지원 바우처사업</t>
  </si>
  <si>
    <t>서민자녀들의 학력 향상과 동등한 교육기회 제공을 위한 교육경비 지원</t>
  </si>
  <si>
    <t>청소년, 청년</t>
  </si>
  <si>
    <t>방문, 인터넷</t>
  </si>
  <si>
    <t>경상남도 교육청년국 교육인재과</t>
  </si>
  <si>
    <t>2026.07.16</t>
  </si>
  <si>
    <t>https://www.bokjiro.go.kr/ssis-tbu/twataa/wlfareInfo/moveTWAT52011M.do?wlfareInfoId=WLF00004073&amp;wlfareInfoReldBztpCd=02</t>
  </si>
  <si>
    <t>밀양시</t>
  </si>
  <si>
    <t>특별교통수단도입운영(교통약자콜택시)</t>
  </si>
  <si>
    <t>장애인, 노약자, 임산부 등에 교통복지 서비스를 제공하여 교통약자 이동편의 증진</t>
  </si>
  <si>
    <t>방문, 전화, 우편</t>
  </si>
  <si>
    <t>경상남도 밀양시 나노경제국 교통행정과</t>
  </si>
  <si>
    <t>2025.06.14</t>
  </si>
  <si>
    <t>https://www.bokjiro.go.kr/ssis-tbu/twataa/wlfareInfo/moveTWAT52011M.do?wlfareInfoId=WLF00003112&amp;wlfareInfoReldBztpCd=02</t>
  </si>
  <si>
    <t>신장장애인 투석비 등 지원</t>
  </si>
  <si>
    <t>장기투석 신장장애인에 대한 투석비 등 지원으로 경제적 부담해소, 최소한의 생활유지 및 사회참여 기회 제공으로 자립기반 마련</t>
  </si>
  <si>
    <t>경상남도 복지여성국 장애인복지과</t>
  </si>
  <si>
    <t>https://www.bokjiro.go.kr/ssis-tbu/twataa/wlfareInfo/moveTWAT52011M.do?wlfareInfoId=WLF00002906&amp;wlfareInfoReldBztpCd=02</t>
  </si>
  <si>
    <t>창원시</t>
  </si>
  <si>
    <t>저소득층 국민건강보험료 지원</t>
  </si>
  <si>
    <t>저소득층에게 질병치료에 어려움이 없도록 건강보험료를 지원하여 생활안정 도모</t>
  </si>
  <si>
    <t>중장년, 영유아, 아동, 청년, 노년, 청소년</t>
  </si>
  <si>
    <t>경상남도 창원시 복지여성보건국 사회복지과</t>
  </si>
  <si>
    <t>2026.08.05</t>
  </si>
  <si>
    <t>https://www.bokjiro.go.kr/ssis-tbu/twataa/wlfareInfo/moveTWAT52011M.do?wlfareInfoId=WLF00004604&amp;wlfareInfoReldBztpCd=02</t>
  </si>
  <si>
    <t>김해시</t>
  </si>
  <si>
    <t>김해시 장애인가정 출산지원금 지원</t>
  </si>
  <si>
    <t>경상남도 김해시에 거주하는 장애인가정의 안정적 출산과 양육환경 조성</t>
  </si>
  <si>
    <t>임신 · 출산, 청년, 중장년</t>
  </si>
  <si>
    <t>경상남도 김해시 복지국 복지정책과</t>
  </si>
  <si>
    <t>2026.07.03</t>
  </si>
  <si>
    <t>https://www.bokjiro.go.kr/ssis-tbu/twataa/wlfareInfo/moveTWAT52011M.do?wlfareInfoId=WLF00006005&amp;wlfareInfoReldBztpCd=02</t>
  </si>
  <si>
    <t>장애인활동지원 시 추가지원</t>
  </si>
  <si>
    <t>활동지원서비스 추가 지원을 통한 중증장애인의 자립생활 지원 및 가족의 부담 경감</t>
  </si>
  <si>
    <t>중장년, 노년, 아동, 청년, 청소년</t>
  </si>
  <si>
    <t>경상남도 창원시 복지여성보건국 노인장애인과</t>
  </si>
  <si>
    <t>2025.06.06</t>
  </si>
  <si>
    <t>https://www.bokjiro.go.kr/ssis-tbu/twataa/wlfareInfo/moveTWAT52011M.do?wlfareInfoId=WLF00002032&amp;wlfareInfoReldBztpCd=02</t>
  </si>
  <si>
    <t>장애인활동지원 시추가지원사업</t>
  </si>
  <si>
    <t>국비 장애인활동지원사업을 시행하고 있으나 이용시간부족으로 불편을 겪고 있는 장애인을 대상으로 서비스 시간을 추가 지원함으로써 장애인의 자립 및 사회참여 기회를 확대하고자 함.</t>
  </si>
  <si>
    <t>청소년, 청년, 중장년, 아동, 영유아</t>
  </si>
  <si>
    <t>경상남도 밀양시 문화복지국 노인장애인과</t>
  </si>
  <si>
    <t>https://www.bokjiro.go.kr/ssis-tbu/twataa/wlfareInfo/moveTWAT52011M.do?wlfareInfoId=WLF00000003&amp;wlfareInfoReldBztpCd=02</t>
  </si>
  <si>
    <t>장애인 보조기기 및 편의설비 지원</t>
  </si>
  <si>
    <t>타인의 도움없이 활동이 어려운 거동불편 장애인의 이동권 확보 및 사회참여 기회 확대, 편의증진 지원</t>
  </si>
  <si>
    <t>노년, 아동, 청소년, 중장년, 청년</t>
  </si>
  <si>
    <t>https://www.bokjiro.go.kr/ssis-tbu/twataa/wlfareInfo/moveTWAT52011M.do?wlfareInfoId=WLF00000145&amp;wlfareInfoReldBztpCd=02</t>
  </si>
  <si>
    <t>정신질환자 치료비 지원사업</t>
  </si>
  <si>
    <t>정신질환자 치료비 부담 경감</t>
  </si>
  <si>
    <t>경상남도 밀양시 보건소 보건위생과</t>
  </si>
  <si>
    <t>https://www.bokjiro.go.kr/ssis-tbu/twataa/wlfareInfo/moveTWAT52011M.do?wlfareInfoId=WLF00004597&amp;wlfareInfoReldBztpCd=02</t>
  </si>
  <si>
    <t>양산시</t>
  </si>
  <si>
    <t>재가중증장애수당지급</t>
  </si>
  <si>
    <t>기초수급자 중 중증장애인의 복지 증진</t>
  </si>
  <si>
    <t>청년, 중장년, 노년</t>
  </si>
  <si>
    <t>경상남도 양산시 문화복지국 노인장애인과</t>
  </si>
  <si>
    <t>https://www.bokjiro.go.kr/ssis-tbu/twataa/wlfareInfo/moveTWAT52011M.do?wlfareInfoId=WLF00000240&amp;wlfareInfoReldBztpCd=02</t>
  </si>
  <si>
    <t>중증장애인 부가급여(시자체)</t>
  </si>
  <si>
    <t>저소득 중증장애인에게 중증장애인 부가급여를 추가지원하여 삶의 질 향상 도모</t>
  </si>
  <si>
    <t>https://www.bokjiro.go.kr/ssis-tbu/twataa/wlfareInfo/moveTWAT52011M.do?wlfareInfoId=WLF00000312&amp;wlfareInfoReldBztpCd=02</t>
  </si>
  <si>
    <t>행복지기 사업</t>
  </si>
  <si>
    <t>취업취약계층 소득보전을 위한 일자리 제공</t>
  </si>
  <si>
    <t>https://www.bokjiro.go.kr/ssis-tbu/twataa/wlfareInfo/moveTWAT52011M.do?wlfareInfoId=WLF00004017&amp;wlfareInfoReldBztpCd=02</t>
  </si>
  <si>
    <t>장애인통합복지카드(A형) 발급수수료 지원사업</t>
  </si>
  <si>
    <t>장애인의 경제적 부담 경감</t>
  </si>
  <si>
    <t>방문, 전화, 인터넷</t>
  </si>
  <si>
    <t>https://www.bokjiro.go.kr/ssis-tbu/twataa/wlfareInfo/moveTWAT52011M.do?wlfareInfoId=WLF00004949&amp;wlfareInfoReldBztpCd=02</t>
  </si>
  <si>
    <t>도비 장애수당 지원</t>
  </si>
  <si>
    <t>저소득 중증장애인 생활기반 안정화 도모</t>
  </si>
  <si>
    <t>경상남도 복지보건국 장애인복지과</t>
  </si>
  <si>
    <t>https://www.bokjiro.go.kr/ssis-tbu/twataa/wlfareInfo/moveTWAT52011M.do?wlfareInfoId=WLF00003966&amp;wlfareInfoReldBztpCd=02</t>
  </si>
  <si>
    <t>통영시</t>
  </si>
  <si>
    <t>장애인활동지원(경상남도 통영시추가지원사업)</t>
  </si>
  <si>
    <t>국비 장애인활동지원사업을 시행하고 있으나 이용시간부족으로 불편을 겪고 있는 중증장애인을 대상으로 서비스 시간을 추가 지원함으로써 
장애인의 자립 및 사회참여 기회를 확대하고자 함.</t>
  </si>
  <si>
    <t>중장년, 아동, 영유아, 청소년, 청년</t>
  </si>
  <si>
    <t>경상남도 통영시 문화복지국 노인장애인과</t>
  </si>
  <si>
    <t>2026.08.11</t>
  </si>
  <si>
    <t>https://www.bokjiro.go.kr/ssis-tbu/twataa/wlfareInfo/moveTWAT52011M.do?wlfareInfoId=WLF00002978&amp;wlfareInfoReldBztpCd=02</t>
  </si>
  <si>
    <t>장애인활동지원 경상남도 도 추가지원(장애인도우미지원)</t>
  </si>
  <si>
    <t>신체적·정신적 이유로 일상생활과 사회활동이 어려운 장애인에게 활동지원 서비스를 제공함으로써 자립생활과 사회참여를 증진</t>
  </si>
  <si>
    <t>팩스, 우편, 방문, 전화</t>
  </si>
  <si>
    <t>https://www.bokjiro.go.kr/ssis-tbu/twataa/wlfareInfo/moveTWAT52011M.do?wlfareInfoId=WLF00005146&amp;wlfareInfoReldBztpCd=02</t>
  </si>
  <si>
    <t>장애인활동지원 시추가사업</t>
  </si>
  <si>
    <t>장애인활동지원(국비) 및 장애인도우미지원(도비) 이용자 중 급여량 부족으로 추가시간이 필요한 장애의 정도가 심한 장애인에게 보충적 성격으로 부족한 활동지원 시간을 지원하는 사업입니다.</t>
  </si>
  <si>
    <t>경상남도 양산시 복지국 노인장애인과</t>
  </si>
  <si>
    <t>https://www.bokjiro.go.kr/ssis-tbu/twataa/wlfareInfo/moveTWAT52011M.do?wlfareInfoId=WLF00006084&amp;wlfareInfoReldBztpCd=02</t>
  </si>
  <si>
    <t>거창군</t>
  </si>
  <si>
    <t>저소득계층 사회서비스 지원</t>
  </si>
  <si>
    <t>저소득 취약계층에 대한 건강보험료지원으로 국민건강 보호</t>
  </si>
  <si>
    <t>노년, 청소년, 청년, 아동, 영유아, 중장년</t>
  </si>
  <si>
    <t>경상남도 거창군 경제복지국 복지정책과</t>
  </si>
  <si>
    <t>2026.08.06</t>
  </si>
  <si>
    <t>https://www.bokjiro.go.kr/ssis-tbu/twataa/wlfareInfo/moveTWAT52011M.do?wlfareInfoId=WLF00004530&amp;wlfareInfoReldBztpCd=02</t>
  </si>
  <si>
    <t>밀양시 저소득주민 국민건강보험료 및 노인장기요양보험료 지원 사업</t>
  </si>
  <si>
    <t>노령, 장애 등으로 생활의 어려움을 겪고 있는 저소득 주민에게 건강보험료 및 노인장기요양보험료를 지원함으로써 시민의 건강증진과 사회복지향상에 이바지함</t>
  </si>
  <si>
    <t>중장년, 아동, 영유아, 노년, 청소년, 청년</t>
  </si>
  <si>
    <t>경상남도 밀양시 문화복지국 주민복지과</t>
  </si>
  <si>
    <t>https://www.bokjiro.go.kr/ssis-tbu/twataa/wlfareInfo/moveTWAT52011M.do?wlfareInfoId=WLF00004499&amp;wlfareInfoReldBztpCd=02</t>
  </si>
  <si>
    <t>거제시</t>
  </si>
  <si>
    <t>장애인가정 출산지원금 지원</t>
  </si>
  <si>
    <t>장애인가정 산모와 신생아의 건강 및 양육환경을 향상시켜 저출산 시대의 사회적 문제해소와 장애인 가정의 생활안정 및 사회적 통합에 기여하기 위하여 출산지원금 지급에 필요한 사항을 규정함을 목적으로 함</t>
  </si>
  <si>
    <t>경상남도 거제시 복지국 노인장애인과</t>
  </si>
  <si>
    <t>https://www.bokjiro.go.kr/ssis-tbu/twataa/wlfareInfo/moveTWAT52011M.do?wlfareInfoId=WLF00003338&amp;wlfareInfoReldBztpCd=02</t>
  </si>
  <si>
    <t>저소득주민 건강보험료 지원</t>
  </si>
  <si>
    <t>노령.장애 등으로 인하여 생활에 어려움을 겪고 있는 저소득주민에 대해 국민건강보험료 및 장기요양보험료를 지원함으로써 시민의 건강증진과 사회복지 향상 도모</t>
  </si>
  <si>
    <t>경상남도 거제시 복지국 사회복지과</t>
  </si>
  <si>
    <t>https://www.bokjiro.go.kr/ssis-tbu/twataa/wlfareInfo/moveTWAT52011M.do?wlfareInfoId=WLF00002887&amp;wlfareInfoReldBztpCd=02</t>
  </si>
  <si>
    <t>산청군</t>
  </si>
  <si>
    <t>저소득층 위문</t>
  </si>
  <si>
    <t>설,추석 명절에 저소득층 위문을 통한 더불어사는 사회분위기 조성</t>
  </si>
  <si>
    <t>아동, 영유아, 노년, 청소년, 중장년, 청년</t>
  </si>
  <si>
    <t>경상남도 산청군 행정복지국 복지정책과</t>
  </si>
  <si>
    <t>https://www.bokjiro.go.kr/ssis-tbu/twataa/wlfareInfo/moveTWAT52011M.do?wlfareInfoId=WLF00000573&amp;wlfareInfoReldBztpCd=02</t>
  </si>
  <si>
    <t>사천시</t>
  </si>
  <si>
    <t>저소득층 국민건강보험료 및 노인장기요양보험료 지원</t>
  </si>
  <si>
    <t>「의료급여법」제3조제1항에 따른 수급권자가 아닌 자에게 국민건강보험료 및 노인장기요양보험료를 지원함으로써 저소득세대의 건강증진과 사회복지 향상을 도모</t>
  </si>
  <si>
    <t>아동, 영유아, 노년, 중장년, 청소년, 청년</t>
  </si>
  <si>
    <t>경상남도 사천시 복지환경국 주민돌봄과</t>
  </si>
  <si>
    <t>https://www.bokjiro.go.kr/ssis-tbu/twataa/wlfareInfo/moveTWAT52011M.do?wlfareInfoId=WLF00002969&amp;wlfareInfoReldBztpCd=02</t>
  </si>
  <si>
    <t>가정위탁 보호 지원</t>
  </si>
  <si>
    <t>가정위탁아동 양육보조금을 지원하여 생활안정 도모</t>
  </si>
  <si>
    <t>경상남도 거창군 경제복지국 행복나눔과</t>
  </si>
  <si>
    <t>2026.08.08</t>
  </si>
  <si>
    <t>https://www.bokjiro.go.kr/ssis-tbu/twataa/wlfareInfo/moveTWAT52011M.do?wlfareInfoId=WLF00001719&amp;wlfareInfoReldBztpCd=02</t>
  </si>
  <si>
    <t>중증장애인세대 위문(설,추석)</t>
  </si>
  <si>
    <t>저소득주민의 생활안정 지원</t>
  </si>
  <si>
    <t>청년, 청소년, 중장년, 노년, 아동, 영유아</t>
  </si>
  <si>
    <t>https://www.bokjiro.go.kr/ssis-tbu/twataa/wlfareInfo/moveTWAT52011M.do?wlfareInfoId=WLF00003088&amp;wlfareInfoReldBztpCd=02</t>
  </si>
  <si>
    <t>장애인활동지원 시 추가</t>
  </si>
  <si>
    <t>장애인활동지원사업(보건복지부) 및 장애인도우미지원사업(경상남도) 대상자(독거 및 준독거) 중 3개월 이상 서비스 시간을 모두 활용하고도 시간이 부족한 대상자로 시추가 산정기준에 해당하는 자에게 지원</t>
  </si>
  <si>
    <t>https://www.bokjiro.go.kr/ssis-tbu/twataa/wlfareInfo/moveTWAT52011M.do?wlfareInfoId=WLF00000501&amp;wlfareInfoReldBztpCd=02</t>
  </si>
  <si>
    <t>거동불편 장애인이 사용하는 장애인보장구의 수리비용 지원으로 장애인의 이동 편의 제공 및 복지증진 도모</t>
  </si>
  <si>
    <t>https://www.bokjiro.go.kr/ssis-tbu/twataa/wlfareInfo/moveTWAT52011M.do?wlfareInfoId=WLF00003007&amp;wlfareInfoReldBztpCd=02</t>
  </si>
  <si>
    <t>함안군</t>
  </si>
  <si>
    <t>저소득 주민 건강보험료 및 장기요양보험료 지원</t>
  </si>
  <si>
    <t>청년, 청소년, 노년, 중장년, 영유아, 아동</t>
  </si>
  <si>
    <t>경상남도 함안군 복지환경국 복지정책과</t>
  </si>
  <si>
    <t>https://www.bokjiro.go.kr/ssis-tbu/twataa/wlfareInfo/moveTWAT52011M.do?wlfareInfoId=WLF00002917&amp;wlfareInfoReldBztpCd=02</t>
  </si>
  <si>
    <t>함양군</t>
  </si>
  <si>
    <t>저소득주민 국민건강보험료 및 노인장기요양보험료 지원</t>
  </si>
  <si>
    <t>생계가 어려운 저소득층의 건강보험료 및 장기요양보험료 납부 지원</t>
  </si>
  <si>
    <t>경상남도 함양군 경제복지국 노인복지과</t>
  </si>
  <si>
    <t>https://www.bokjiro.go.kr/ssis-tbu/twataa/wlfareInfo/moveTWAT52011M.do?wlfareInfoId=WLF00000580&amp;wlfareInfoReldBztpCd=02</t>
  </si>
  <si>
    <t>장애인 명절위문</t>
  </si>
  <si>
    <t>저소득 장애인 명절위문</t>
  </si>
  <si>
    <t>아동, 영유아, 중장년, 노년, 청소년, 청년</t>
  </si>
  <si>
    <t>https://www.bokjiro.go.kr/ssis-tbu/twataa/wlfareInfo/moveTWAT52011M.do?wlfareInfoId=WLF00004593&amp;wlfareInfoReldBztpCd=02</t>
  </si>
  <si>
    <t>장애의 정도가 심한 장애인산모 본인부담금 지원</t>
  </si>
  <si>
    <t>장애 산모의 산모신생아 건강관리 지원사업 본인부담금 지원을 통해 경제적 부담감을 경감하여 저출산 극복에 일조하고자 함</t>
  </si>
  <si>
    <t>영유아, 임신 · 출산</t>
  </si>
  <si>
    <t>경상남도 양산시 보건소 건강증진과</t>
  </si>
  <si>
    <t>https://www.bokjiro.go.kr/ssis-tbu/twataa/wlfareInfo/moveTWAT52011M.do?wlfareInfoId=WLF00002850&amp;wlfareInfoReldBztpCd=02</t>
  </si>
  <si>
    <t>저소득 주민 국민건강보험료 및 노인장기요양보험료 지원</t>
  </si>
  <si>
    <t>ㅇ 노령 및 장애로 인하여 생활에 어려움을 겪고 있는 군민에게 국민건강보험료 및 노인장기요양보험료 지원을 실시함으로써 군민의 경제적 부담을 줄여 최소한의 의료서비스에서 소외되지 않고 건강생활증진과 사회복지 향상 도모  
ㅇ 국민건강보험료 및 노인장기요양보험료 지역가입자의 월별 보험료액의 하한액 이하를 납부하는 세대주 중 만 65세이상 노인 및 장애인 세대주에 건강보헙료 지원</t>
  </si>
  <si>
    <t>경상남도 창녕군 행정복지국 행복나눔과</t>
  </si>
  <si>
    <t>https://www.bokjiro.go.kr/ssis-tbu/twataa/wlfareInfo/moveTWAT52011M.do?wlfareInfoId=WLF00001922&amp;wlfareInfoReldBztpCd=02</t>
  </si>
  <si>
    <t>휠체어택시 운영</t>
  </si>
  <si>
    <t>장애인의 이동권보장 및 편의제공</t>
  </si>
  <si>
    <t>경상남도 함양군 경제복지국 사회복지과</t>
  </si>
  <si>
    <t>2025.08.01</t>
  </si>
  <si>
    <t>https://www.bokjiro.go.kr/ssis-tbu/twataa/wlfareInfo/moveTWAT52011M.do?wlfareInfoId=WLF00000581&amp;wlfareInfoReldBztpCd=02</t>
  </si>
  <si>
    <t>장애인이동편의제공</t>
  </si>
  <si>
    <t>-대중목욕탕을 이용하기 어려운 장애인을 위해 이동 목욕 차량을 운영하여 삶의 질 향상</t>
  </si>
  <si>
    <t>https://www.bokjiro.go.kr/ssis-tbu/twataa/wlfareInfo/moveTWAT52011M.do?wlfareInfoId=WLF00004508&amp;wlfareInfoReldBztpCd=02</t>
  </si>
  <si>
    <t>장애인가족휴식</t>
  </si>
  <si>
    <t>장애인가족의 휴식지원과 유대관계 강화</t>
  </si>
  <si>
    <t>청년, 중장년, 청소년, 노년, 아동</t>
  </si>
  <si>
    <t>https://www.bokjiro.go.kr/ssis-tbu/twataa/wlfareInfo/moveTWAT52011M.do?wlfareInfoId=WLF00000344&amp;wlfareInfoReldBztpCd=02</t>
  </si>
  <si>
    <t>장애인보장구 수리비 지원</t>
  </si>
  <si>
    <t>장애인보장구 수리비 지원을 통한 장애인의 이동권을 보장하고 사회활동 참여 증진에 기여</t>
  </si>
  <si>
    <t>팩스, 방문</t>
  </si>
  <si>
    <t>2026.08.21</t>
  </si>
  <si>
    <t>https://www.bokjiro.go.kr/ssis-tbu/twataa/wlfareInfo/moveTWAT52011M.do?wlfareInfoId=WLF00003934&amp;wlfareInfoReldBztpCd=02</t>
  </si>
  <si>
    <t>합천군</t>
  </si>
  <si>
    <t>장애인 생활복지 인프라 확충</t>
  </si>
  <si>
    <t>장애인 복지 향상을 위한 인프라 구축, 장애인 가정의 경제적·심리적 부담 경감</t>
  </si>
  <si>
    <t>경상남도 합천군 행정복지국 주민복지과</t>
  </si>
  <si>
    <t>2026.08.01</t>
  </si>
  <si>
    <t>https://www.bokjiro.go.kr/ssis-tbu/twataa/wlfareInfo/moveTWAT52011M.do?wlfareInfoId=WLF00002896&amp;wlfareInfoReldBztpCd=02</t>
  </si>
  <si>
    <t>남해군</t>
  </si>
  <si>
    <t>어려운 계층 위문</t>
  </si>
  <si>
    <t>사회복지시설 및 저소득계층 명절, 연말 위문품 전달을 통한 경제적 안정 도모</t>
  </si>
  <si>
    <t>경상남도 남해군 행정복지국 복지정책과</t>
  </si>
  <si>
    <t>https://www.bokjiro.go.kr/ssis-tbu/twataa/wlfareInfo/moveTWAT52011M.do?wlfareInfoId=WLF00002914&amp;wlfareInfoReldBztpCd=02</t>
  </si>
  <si>
    <t>저소득주민 건강보험료지원</t>
  </si>
  <si>
    <t>생활에 어려움을 겪고 있는 저소득 주민의 건강보험료 및 장기요양보험료를 지원함으로써 시민의 건강증진과 사회복지의 증진에 이바지함</t>
  </si>
  <si>
    <t>경상남도 통영시 문화복지국 생활복지과</t>
  </si>
  <si>
    <t>https://www.bokjiro.go.kr/ssis-tbu/twataa/wlfareInfo/moveTWAT52011M.do?wlfareInfoId=WLF00002979&amp;wlfareInfoReldBztpCd=02</t>
  </si>
  <si>
    <t>저장강박 의심가구 [물건비움 마음채움] 사업</t>
  </si>
  <si>
    <t>저장강박 의심가구의 안전하고 쾌적한 주건환경 제공 및 시민의 건강과 복지 증진 사업입니다.</t>
  </si>
  <si>
    <t>2026.08.27</t>
  </si>
  <si>
    <t>https://www.bokjiro.go.kr/ssis-tbu/twataa/wlfareInfo/moveTWAT52011M.do?wlfareInfoId=WLF00006110&amp;wlfareInfoReldBztpCd=02</t>
  </si>
  <si>
    <t>시각장애인 사물놀이교실</t>
  </si>
  <si>
    <t>시각장애인 사물놀이교실 운영</t>
  </si>
  <si>
    <t>https://www.bokjiro.go.kr/ssis-tbu/twataa/wlfareInfo/moveTWAT52011M.do?wlfareInfoId=WLF00000342&amp;wlfareInfoReldBztpCd=02</t>
  </si>
  <si>
    <t>하동군</t>
  </si>
  <si>
    <t>장애인보장구 수리비 30만원 이내 지원</t>
  </si>
  <si>
    <t>경상남도 하동군 기획행정국 주민행복과</t>
  </si>
  <si>
    <t>2026.06.20</t>
  </si>
  <si>
    <t>https://www.bokjiro.go.kr/ssis-tbu/twataa/wlfareInfo/moveTWAT52011M.do?wlfareInfoId=WLF00004423&amp;wlfareInfoReldBztpCd=02</t>
  </si>
  <si>
    <t>청각장애아동 달팽이관 수술비 지원</t>
  </si>
  <si>
    <t>저소득 청각장애아동 인공달팽이관 이식 수술 지원으로 언어능력 향상과 장애인 가정의 의료비 부담 경감을 통해 안정적인 생활도모</t>
  </si>
  <si>
    <t>아동, 영유아</t>
  </si>
  <si>
    <t>https://www.bokjiro.go.kr/ssis-tbu/twataa/wlfareInfo/moveTWAT52011M.do?wlfareInfoId=WLF00001877&amp;wlfareInfoReldBztpCd=02</t>
  </si>
  <si>
    <t>장애인보조기기 수리비 지원사업</t>
  </si>
  <si>
    <t>https://www.bokjiro.go.kr/ssis-tbu/twataa/wlfareInfo/moveTWAT52011M.do?wlfareInfoId=WLF00000239&amp;wlfareInfoReldBztpCd=02</t>
  </si>
  <si>
    <t>사천시 저소득주민 국민건강보험료 및 노인장기요양보험료 지원</t>
  </si>
  <si>
    <t>「의료급여법」제3조제1항에 따른 수급권자가 아닌 자에게 국민건강보험료 및 노인장기요양보험료를 지원함으로써 저소득세대의 건강증진과 사회복지 향상을 도모함을 목적으로 한다</t>
  </si>
  <si>
    <t>경상남도 사천시 복지환경국 주민복지과</t>
  </si>
  <si>
    <t>https://www.bokjiro.go.kr/ssis-tbu/twataa/wlfareInfo/moveTWAT52011M.do?wlfareInfoId=WLF00006012&amp;wlfareInfoReldBztpCd=02</t>
  </si>
  <si>
    <t>장애인 보조기구 수리비 지원</t>
  </si>
  <si>
    <t>장애인 이동권 보장 및 경제적 부담 경감</t>
  </si>
  <si>
    <t>경상남도 함안군 복지환경국 행복지원과</t>
  </si>
  <si>
    <t>2026.08.15</t>
  </si>
  <si>
    <t>https://www.bokjiro.go.kr/ssis-tbu/twataa/wlfareInfo/moveTWAT52011M.do?wlfareInfoId=WLF00002916&amp;wlfareInfoReldBztpCd=02</t>
  </si>
  <si>
    <t>장애인의 날 행사 지원</t>
  </si>
  <si>
    <t>장애인의 날을 맞아 장애인들을 위로하고 함께하는 화합의 장을 마련하여  더불어 살아가는 사회분위기 조성</t>
  </si>
  <si>
    <t>아동, 영유아, 노년, 청소년, 청년, 중장년</t>
  </si>
  <si>
    <t>https://www.bokjiro.go.kr/ssis-tbu/twataa/wlfareInfo/moveTWAT52011M.do?wlfareInfoId=WLF00000244&amp;wlfareInfoReldBztpCd=02</t>
  </si>
  <si>
    <t>경남장애인신문 보급사업</t>
  </si>
  <si>
    <t>장애인복지 정보 전달 및 시책 홍보</t>
  </si>
  <si>
    <t>아동, 노년, 청소년, 중장년, 청년</t>
  </si>
  <si>
    <t>https://www.bokjiro.go.kr/ssis-tbu/twataa/wlfareInfo/moveTWAT52011M.do?wlfareInfoId=WLF00000309&amp;wlfareInfoReldBztpCd=02</t>
  </si>
  <si>
    <t>의령군</t>
  </si>
  <si>
    <t>저소득장애인 정보소식지 보급</t>
  </si>
  <si>
    <t>장애인 신문 지원을 통해 장애인의 알 권리 보장</t>
  </si>
  <si>
    <t>경상남도 의령군 행정복지국 주민생활지원과</t>
  </si>
  <si>
    <t>2026.08.28</t>
  </si>
  <si>
    <t>https://www.bokjiro.go.kr/ssis-tbu/twataa/wlfareInfo/moveTWAT52011M.do?wlfareInfoId=WLF00003123&amp;wlfareInfoReldBztpCd=02</t>
  </si>
  <si>
    <t>16개 시도 치료지원 · 서식 비교 (서울 제외)</t>
  </si>
  <si>
    <t>각 교육청 누리집 · 운영계획 원문 확인 (2026-10-16). 금액은 2026학년도 · 월 기준. 「미확인」은 확인하지 못한 값입니다. 출처: docs/제도-출처-지도.md</t>
  </si>
  <si>
    <t>치료지원 카드</t>
  </si>
  <si>
    <t>치료지원 월 지원액 (만 원)</t>
  </si>
  <si>
    <t>방과후</t>
  </si>
  <si>
    <t>복지그루</t>
  </si>
  <si>
    <t>비고</t>
  </si>
  <si>
    <t>강원</t>
  </si>
  <si>
    <t>마음모아카드</t>
  </si>
  <si>
    <t>같은 카드 · 15만 (유치원 제외)</t>
  </si>
  <si>
    <t>구현</t>
  </si>
  <si>
    <t>경남</t>
  </si>
  <si>
    <t>치료지원 전자카드</t>
  </si>
  <si>
    <t>특기적성교육비 전자카드 · 12만</t>
  </si>
  <si>
    <t>지침상 「특기적성비지원카드」</t>
  </si>
  <si>
    <t>부산</t>
  </si>
  <si>
    <t>마중물카드</t>
  </si>
  <si>
    <t>미확인</t>
  </si>
  <si>
    <t>출처만</t>
  </si>
  <si>
    <t>금액 페이지 2025-03 수정</t>
  </si>
  <si>
    <t>대구</t>
  </si>
  <si>
    <t>누리집 점검(10/16~18) — 행안부 API에는 치료지원비 등 11건</t>
  </si>
  <si>
    <t>인천</t>
  </si>
  <si>
    <t>참좋은카드</t>
  </si>
  <si>
    <t>방과후 지원카드 · 10만</t>
  </si>
  <si>
    <t>서식 1</t>
  </si>
  <si>
    <t>2026-09-01 길라잡이 변경</t>
  </si>
  <si>
    <t>광주</t>
  </si>
  <si>
    <t>튼튼e카드</t>
  </si>
  <si>
    <t>실비 · 10만</t>
  </si>
  <si>
    <t>서식 1-2</t>
  </si>
  <si>
    <t>전남광주통합특별시교육청</t>
  </si>
  <si>
    <t>대전</t>
  </si>
  <si>
    <t>행복동행카드</t>
  </si>
  <si>
    <t>별도 · 12만</t>
  </si>
  <si>
    <t>울산</t>
  </si>
  <si>
    <t>전자카드 (고유 이름 없음)</t>
  </si>
  <si>
    <t>12만</t>
  </si>
  <si>
    <t>서식 4-1</t>
  </si>
  <si>
    <t>세종</t>
  </si>
  <si>
    <t>자라미카드</t>
  </si>
  <si>
    <t>꿈꾸미카드 · 16만</t>
  </si>
  <si>
    <t>행안부 API에 치료지원 항목 없음</t>
  </si>
  <si>
    <t>경기</t>
  </si>
  <si>
    <t>꿈이든카드</t>
  </si>
  <si>
    <t>치료+방과후 합산 15만</t>
  </si>
  <si>
    <t>합산 금액 · 서식 번호 혼선</t>
  </si>
  <si>
    <t>충북</t>
  </si>
  <si>
    <t>치료지원카드 (이름 없음)</t>
  </si>
  <si>
    <t>청구서 · 14만</t>
  </si>
  <si>
    <t>서식 1-1</t>
  </si>
  <si>
    <t>안내 페이지는 아직 12만</t>
  </si>
  <si>
    <t>충남</t>
  </si>
  <si>
    <t>디딤카드</t>
  </si>
  <si>
    <t>행안부 API에 특수교육 항목 없음</t>
  </si>
  <si>
    <t>전북</t>
  </si>
  <si>
    <t>꿈활짝카드</t>
  </si>
  <si>
    <t>외부 수강 10만</t>
  </si>
  <si>
    <t>전남</t>
  </si>
  <si>
    <t>꿈-그린카드</t>
  </si>
  <si>
    <t>치료 10만 + 특기적성 10만 (최대 20만)</t>
  </si>
  <si>
    <t>경북</t>
  </si>
  <si>
    <t>경북i짱짱카드</t>
  </si>
  <si>
    <t>같은 카드 · 12만</t>
  </si>
  <si>
    <t>제주</t>
  </si>
  <si>
    <t>제주희망나눔카드</t>
  </si>
  <si>
    <t>금액을 확인한 시도 수</t>
  </si>
  <si>
    <t>치료지원 최소 (만 원)</t>
  </si>
  <si>
    <t>치료지원 최대 (만 원)</t>
  </si>
  <si>
    <t>치료지원 평균 (만 원)</t>
  </si>
  <si>
    <t>서식 번호가 「서식 1」인 시도 수</t>
  </si>
  <si>
    <t>※ 전남은 치료 몫(10만)만 넣었습니다. 대구는 미확인이라 빈칸이며 계산에서 빠집니다.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</si>
</sst>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10315C"/>
      <name val="Arial"/>
    </font>
    <font>
      <sz val="9"/>
      <color rgb="FF4D5763"/>
      <name val="Arial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000000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315C"/>
      </patternFill>
    </fill>
  </fills>
  <borders count="2">
    <border>
      <left/>
      <right/>
      <top/>
      <bottom/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6" fillId="2" borderId="0" xfId="0" applyFont="1" applyFill="1"/>
    <xf numFmtId="0" fontId="7" fillId="0" borderId="0" xfId="0" applyFont="1"/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7.399999999999999" x14ac:dyDescent="0.4"/>
  <cols>
    <col min="1" max="1" width="36" customWidth="1"/>
    <col min="2" max="2" width="90" customWidth="1"/>
  </cols>
  <sheetData>
    <row r="1" spans="1:2" ht="18.600000000000001" x14ac:dyDescent="0.4">
      <c r="A1" s="1" t="s">
        <v>0</v>
      </c>
    </row>
    <row r="2" spans="1:2" x14ac:dyDescent="0.4">
      <c r="A2" s="2" t="s">
        <v>1</v>
      </c>
    </row>
    <row r="4" spans="1:2" x14ac:dyDescent="0.4">
      <c r="A4" s="3" t="s">
        <v>2</v>
      </c>
      <c r="B4" s="3" t="s">
        <v>3</v>
      </c>
    </row>
    <row r="5" spans="1:2" x14ac:dyDescent="0.4">
      <c r="A5" s="4" t="s">
        <v>4</v>
      </c>
      <c r="B5" s="4" t="s">
        <v>5</v>
      </c>
    </row>
    <row r="6" spans="1:2" x14ac:dyDescent="0.4">
      <c r="A6" s="4" t="s">
        <v>6</v>
      </c>
      <c r="B6" s="4" t="s">
        <v>7</v>
      </c>
    </row>
    <row r="7" spans="1:2" x14ac:dyDescent="0.4">
      <c r="A7" s="4" t="s">
        <v>8</v>
      </c>
      <c r="B7" s="4" t="s">
        <v>9</v>
      </c>
    </row>
    <row r="8" spans="1:2" x14ac:dyDescent="0.4">
      <c r="A8" s="4" t="s">
        <v>10</v>
      </c>
      <c r="B8" s="4" t="s">
        <v>11</v>
      </c>
    </row>
    <row r="9" spans="1:2" x14ac:dyDescent="0.4">
      <c r="A9" s="4" t="s">
        <v>12</v>
      </c>
      <c r="B9" s="4" t="s">
        <v>13</v>
      </c>
    </row>
    <row r="10" spans="1:2" x14ac:dyDescent="0.4">
      <c r="A10" s="4" t="s">
        <v>14</v>
      </c>
      <c r="B10" s="4" t="s">
        <v>15</v>
      </c>
    </row>
    <row r="12" spans="1:2" x14ac:dyDescent="0.4">
      <c r="A12" s="5" t="s">
        <v>16</v>
      </c>
    </row>
    <row r="13" spans="1:2" x14ac:dyDescent="0.4">
      <c r="A13" s="6" t="s">
        <v>17</v>
      </c>
      <c r="B13" s="5">
        <f>COUNTIF('제도 한눈에'!A:A,"강원특별자치도")</f>
        <v>9</v>
      </c>
    </row>
    <row r="14" spans="1:2" x14ac:dyDescent="0.4">
      <c r="A14" s="6" t="s">
        <v>18</v>
      </c>
      <c r="B14" s="5">
        <f>COUNTIF('제도 한눈에'!A:A,"경상남도")</f>
        <v>9</v>
      </c>
    </row>
    <row r="15" spans="1:2" x14ac:dyDescent="0.4">
      <c r="A15" s="6" t="s">
        <v>19</v>
      </c>
      <c r="B15" s="5">
        <f>COUNTIF('제도 한눈에'!L:L,"예시")</f>
        <v>0</v>
      </c>
    </row>
    <row r="16" spans="1:2" x14ac:dyDescent="0.4">
      <c r="A16" s="6" t="s">
        <v>20</v>
      </c>
      <c r="B16" s="5">
        <f>COUNTIF('준비 서류'!C:C,"먼저")</f>
        <v>7</v>
      </c>
    </row>
    <row r="17" spans="1:2" x14ac:dyDescent="0.4">
      <c r="A17" s="6" t="s">
        <v>21</v>
      </c>
      <c r="B17" s="5">
        <f>COUNTIF('지역 자체사업'!A:A,"강원특별자치도")</f>
        <v>43</v>
      </c>
    </row>
    <row r="18" spans="1:2" x14ac:dyDescent="0.4">
      <c r="A18" s="6" t="s">
        <v>22</v>
      </c>
      <c r="B18" s="5">
        <f>COUNTIF('지역 자체사업'!A:A,"경상남도")</f>
        <v>50</v>
      </c>
    </row>
    <row r="20" spans="1:2" x14ac:dyDescent="0.4">
      <c r="A20" s="6" t="s">
        <v>23</v>
      </c>
    </row>
    <row r="21" spans="1:2" x14ac:dyDescent="0.4">
      <c r="A21" s="6" t="s">
        <v>24</v>
      </c>
    </row>
    <row r="22" spans="1:2" x14ac:dyDescent="0.4">
      <c r="A22" s="6" t="s">
        <v>25</v>
      </c>
    </row>
    <row r="23" spans="1:2" x14ac:dyDescent="0.4">
      <c r="A23" s="6" t="s">
        <v>26</v>
      </c>
    </row>
    <row r="24" spans="1:2" x14ac:dyDescent="0.4">
      <c r="A24" s="6" t="s">
        <v>27</v>
      </c>
    </row>
    <row r="25" spans="1:2" x14ac:dyDescent="0.4">
      <c r="A25" s="6" t="s">
        <v>28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pane ySplit="4" topLeftCell="A5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8" customWidth="1"/>
    <col min="3" max="3" width="26" customWidth="1"/>
    <col min="4" max="4" width="30" customWidth="1"/>
    <col min="5" max="5" width="60" customWidth="1"/>
    <col min="6" max="6" width="26" customWidth="1"/>
    <col min="7" max="7" width="36" customWidth="1"/>
    <col min="8" max="8" width="26" customWidth="1"/>
    <col min="9" max="9" width="22" customWidth="1"/>
    <col min="10" max="10" width="30" customWidth="1"/>
    <col min="11" max="11" width="26" customWidth="1"/>
    <col min="12" max="12" width="9" customWidth="1"/>
    <col min="13" max="13" width="16" customWidth="1"/>
    <col min="14" max="14" width="50" customWidth="1"/>
  </cols>
  <sheetData>
    <row r="1" spans="1:14" ht="18.600000000000001" x14ac:dyDescent="0.4">
      <c r="A1" s="1" t="s">
        <v>29</v>
      </c>
    </row>
    <row r="2" spans="1:14" x14ac:dyDescent="0.4">
      <c r="A2" s="2" t="s">
        <v>30</v>
      </c>
    </row>
    <row r="4" spans="1:14" x14ac:dyDescent="0.4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6</v>
      </c>
      <c r="H4" s="7" t="s">
        <v>37</v>
      </c>
      <c r="I4" s="7" t="s">
        <v>38</v>
      </c>
      <c r="J4" s="7" t="s">
        <v>39</v>
      </c>
      <c r="K4" s="7" t="s">
        <v>40</v>
      </c>
      <c r="L4" s="7" t="s">
        <v>41</v>
      </c>
      <c r="M4" s="7" t="s">
        <v>42</v>
      </c>
      <c r="N4" s="7" t="s">
        <v>43</v>
      </c>
    </row>
    <row r="5" spans="1:14" ht="39.6" x14ac:dyDescent="0.4">
      <c r="A5" s="8" t="s">
        <v>44</v>
      </c>
      <c r="B5" s="8" t="s">
        <v>45</v>
      </c>
      <c r="C5" s="8" t="s">
        <v>46</v>
      </c>
      <c r="D5" s="8"/>
      <c r="E5" s="8" t="s">
        <v>47</v>
      </c>
      <c r="F5" s="8" t="s">
        <v>48</v>
      </c>
      <c r="G5" s="8" t="s">
        <v>49</v>
      </c>
      <c r="H5" s="8" t="s">
        <v>50</v>
      </c>
      <c r="I5" s="8"/>
      <c r="J5" s="8"/>
      <c r="K5" s="8" t="s">
        <v>51</v>
      </c>
      <c r="L5" s="8" t="s">
        <v>52</v>
      </c>
      <c r="M5" s="8" t="s">
        <v>53</v>
      </c>
      <c r="N5" s="8" t="s">
        <v>54</v>
      </c>
    </row>
    <row r="6" spans="1:14" ht="79.2" x14ac:dyDescent="0.4">
      <c r="A6" s="8" t="s">
        <v>44</v>
      </c>
      <c r="B6" s="8" t="s">
        <v>45</v>
      </c>
      <c r="C6" s="8" t="s">
        <v>55</v>
      </c>
      <c r="D6" s="8" t="s">
        <v>56</v>
      </c>
      <c r="E6" s="8" t="s">
        <v>57</v>
      </c>
      <c r="F6" s="8" t="s">
        <v>58</v>
      </c>
      <c r="G6" s="8" t="s">
        <v>59</v>
      </c>
      <c r="H6" s="8" t="s">
        <v>60</v>
      </c>
      <c r="I6" s="8"/>
      <c r="J6" s="8"/>
      <c r="K6" s="8" t="s">
        <v>61</v>
      </c>
      <c r="L6" s="8" t="s">
        <v>52</v>
      </c>
      <c r="M6" s="8" t="s">
        <v>62</v>
      </c>
      <c r="N6" s="8" t="s">
        <v>63</v>
      </c>
    </row>
    <row r="7" spans="1:14" ht="52.8" x14ac:dyDescent="0.4">
      <c r="A7" s="8" t="s">
        <v>44</v>
      </c>
      <c r="B7" s="8" t="s">
        <v>45</v>
      </c>
      <c r="C7" s="8" t="s">
        <v>64</v>
      </c>
      <c r="D7" s="8" t="s">
        <v>56</v>
      </c>
      <c r="E7" s="8" t="s">
        <v>65</v>
      </c>
      <c r="F7" s="8" t="s">
        <v>66</v>
      </c>
      <c r="G7" s="8" t="s">
        <v>67</v>
      </c>
      <c r="H7" s="8" t="s">
        <v>68</v>
      </c>
      <c r="I7" s="8"/>
      <c r="J7" s="8"/>
      <c r="K7" s="8" t="s">
        <v>69</v>
      </c>
      <c r="L7" s="8" t="s">
        <v>52</v>
      </c>
      <c r="M7" s="8" t="s">
        <v>53</v>
      </c>
      <c r="N7" s="8" t="s">
        <v>70</v>
      </c>
    </row>
    <row r="8" spans="1:14" ht="52.8" x14ac:dyDescent="0.4">
      <c r="A8" s="8" t="s">
        <v>44</v>
      </c>
      <c r="B8" s="8" t="s">
        <v>45</v>
      </c>
      <c r="C8" s="8" t="s">
        <v>71</v>
      </c>
      <c r="D8" s="8" t="s">
        <v>56</v>
      </c>
      <c r="E8" s="8" t="s">
        <v>72</v>
      </c>
      <c r="F8" s="8" t="s">
        <v>73</v>
      </c>
      <c r="G8" s="8" t="s">
        <v>74</v>
      </c>
      <c r="H8" s="8" t="s">
        <v>75</v>
      </c>
      <c r="I8" s="8"/>
      <c r="J8" s="8"/>
      <c r="K8" s="8" t="s">
        <v>76</v>
      </c>
      <c r="L8" s="8" t="s">
        <v>52</v>
      </c>
      <c r="M8" s="8" t="s">
        <v>62</v>
      </c>
      <c r="N8" s="8" t="s">
        <v>77</v>
      </c>
    </row>
    <row r="9" spans="1:14" ht="66" x14ac:dyDescent="0.4">
      <c r="A9" s="8" t="s">
        <v>44</v>
      </c>
      <c r="B9" s="8" t="s">
        <v>78</v>
      </c>
      <c r="C9" s="8" t="s">
        <v>79</v>
      </c>
      <c r="D9" s="8"/>
      <c r="E9" s="8" t="s">
        <v>80</v>
      </c>
      <c r="F9" s="8" t="s">
        <v>81</v>
      </c>
      <c r="G9" s="8" t="s">
        <v>82</v>
      </c>
      <c r="H9" s="8" t="s">
        <v>83</v>
      </c>
      <c r="I9" s="8" t="s">
        <v>84</v>
      </c>
      <c r="J9" s="8" t="s">
        <v>85</v>
      </c>
      <c r="K9" s="8" t="s">
        <v>86</v>
      </c>
      <c r="L9" s="8" t="s">
        <v>52</v>
      </c>
      <c r="M9" s="8" t="s">
        <v>53</v>
      </c>
      <c r="N9" s="8" t="s">
        <v>87</v>
      </c>
    </row>
    <row r="10" spans="1:14" ht="92.4" x14ac:dyDescent="0.4">
      <c r="A10" s="8" t="s">
        <v>44</v>
      </c>
      <c r="B10" s="8" t="s">
        <v>88</v>
      </c>
      <c r="C10" s="8" t="s">
        <v>89</v>
      </c>
      <c r="D10" s="8" t="s">
        <v>90</v>
      </c>
      <c r="E10" s="8" t="s">
        <v>91</v>
      </c>
      <c r="F10" s="8" t="s">
        <v>92</v>
      </c>
      <c r="G10" s="8" t="s">
        <v>93</v>
      </c>
      <c r="H10" s="8" t="s">
        <v>94</v>
      </c>
      <c r="I10" s="8" t="s">
        <v>95</v>
      </c>
      <c r="J10" s="8" t="s">
        <v>96</v>
      </c>
      <c r="K10" s="8" t="s">
        <v>97</v>
      </c>
      <c r="L10" s="8" t="s">
        <v>52</v>
      </c>
      <c r="M10" s="8" t="s">
        <v>98</v>
      </c>
      <c r="N10" s="8" t="s">
        <v>99</v>
      </c>
    </row>
    <row r="11" spans="1:14" ht="79.2" x14ac:dyDescent="0.4">
      <c r="A11" s="8" t="s">
        <v>44</v>
      </c>
      <c r="B11" s="8" t="s">
        <v>88</v>
      </c>
      <c r="C11" s="8" t="s">
        <v>100</v>
      </c>
      <c r="D11" s="8" t="s">
        <v>101</v>
      </c>
      <c r="E11" s="8" t="s">
        <v>102</v>
      </c>
      <c r="F11" s="8" t="s">
        <v>103</v>
      </c>
      <c r="G11" s="8" t="s">
        <v>104</v>
      </c>
      <c r="H11" s="8" t="s">
        <v>105</v>
      </c>
      <c r="I11" s="8" t="s">
        <v>95</v>
      </c>
      <c r="J11" s="8" t="s">
        <v>106</v>
      </c>
      <c r="K11" s="8" t="s">
        <v>107</v>
      </c>
      <c r="L11" s="8" t="s">
        <v>52</v>
      </c>
      <c r="M11" s="8" t="s">
        <v>108</v>
      </c>
      <c r="N11" s="8" t="s">
        <v>109</v>
      </c>
    </row>
    <row r="12" spans="1:14" ht="92.4" x14ac:dyDescent="0.4">
      <c r="A12" s="8" t="s">
        <v>44</v>
      </c>
      <c r="B12" s="8" t="s">
        <v>88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95</v>
      </c>
      <c r="J12" s="8" t="s">
        <v>116</v>
      </c>
      <c r="K12" s="8" t="s">
        <v>117</v>
      </c>
      <c r="L12" s="8" t="s">
        <v>52</v>
      </c>
      <c r="M12" s="8" t="s">
        <v>118</v>
      </c>
      <c r="N12" s="8" t="s">
        <v>119</v>
      </c>
    </row>
    <row r="13" spans="1:14" ht="52.8" x14ac:dyDescent="0.4">
      <c r="A13" s="8" t="s">
        <v>44</v>
      </c>
      <c r="B13" s="8" t="s">
        <v>45</v>
      </c>
      <c r="C13" s="8" t="s">
        <v>120</v>
      </c>
      <c r="D13" s="8" t="s">
        <v>121</v>
      </c>
      <c r="E13" s="8" t="s">
        <v>122</v>
      </c>
      <c r="F13" s="8" t="s">
        <v>123</v>
      </c>
      <c r="G13" s="8" t="s">
        <v>124</v>
      </c>
      <c r="H13" s="8" t="s">
        <v>125</v>
      </c>
      <c r="I13" s="8"/>
      <c r="J13" s="8"/>
      <c r="K13" s="8" t="s">
        <v>76</v>
      </c>
      <c r="L13" s="8" t="s">
        <v>52</v>
      </c>
      <c r="M13" s="8" t="s">
        <v>62</v>
      </c>
      <c r="N13" s="8" t="s">
        <v>126</v>
      </c>
    </row>
    <row r="14" spans="1:14" ht="39.6" x14ac:dyDescent="0.4">
      <c r="A14" s="8" t="s">
        <v>127</v>
      </c>
      <c r="B14" s="8" t="s">
        <v>45</v>
      </c>
      <c r="C14" s="8" t="s">
        <v>46</v>
      </c>
      <c r="D14" s="8"/>
      <c r="E14" s="8" t="s">
        <v>47</v>
      </c>
      <c r="F14" s="8" t="s">
        <v>48</v>
      </c>
      <c r="G14" s="8" t="s">
        <v>49</v>
      </c>
      <c r="H14" s="8" t="s">
        <v>50</v>
      </c>
      <c r="I14" s="8"/>
      <c r="J14" s="8"/>
      <c r="K14" s="8" t="s">
        <v>51</v>
      </c>
      <c r="L14" s="8" t="s">
        <v>52</v>
      </c>
      <c r="M14" s="8" t="s">
        <v>53</v>
      </c>
      <c r="N14" s="8" t="s">
        <v>54</v>
      </c>
    </row>
    <row r="15" spans="1:14" ht="66" x14ac:dyDescent="0.4">
      <c r="A15" s="8" t="s">
        <v>127</v>
      </c>
      <c r="B15" s="8" t="s">
        <v>45</v>
      </c>
      <c r="C15" s="8" t="s">
        <v>128</v>
      </c>
      <c r="D15" s="8" t="s">
        <v>56</v>
      </c>
      <c r="E15" s="8" t="s">
        <v>129</v>
      </c>
      <c r="F15" s="8" t="s">
        <v>73</v>
      </c>
      <c r="G15" s="8" t="s">
        <v>130</v>
      </c>
      <c r="H15" s="8" t="s">
        <v>105</v>
      </c>
      <c r="I15" s="8"/>
      <c r="J15" s="8"/>
      <c r="K15" s="8" t="s">
        <v>61</v>
      </c>
      <c r="L15" s="8" t="s">
        <v>52</v>
      </c>
      <c r="M15" s="8" t="s">
        <v>62</v>
      </c>
      <c r="N15" s="8" t="s">
        <v>131</v>
      </c>
    </row>
    <row r="16" spans="1:14" ht="52.8" x14ac:dyDescent="0.4">
      <c r="A16" s="8" t="s">
        <v>127</v>
      </c>
      <c r="B16" s="8" t="s">
        <v>45</v>
      </c>
      <c r="C16" s="8" t="s">
        <v>64</v>
      </c>
      <c r="D16" s="8" t="s">
        <v>56</v>
      </c>
      <c r="E16" s="8" t="s">
        <v>65</v>
      </c>
      <c r="F16" s="8" t="s">
        <v>66</v>
      </c>
      <c r="G16" s="8" t="s">
        <v>67</v>
      </c>
      <c r="H16" s="8" t="s">
        <v>68</v>
      </c>
      <c r="I16" s="8"/>
      <c r="J16" s="8"/>
      <c r="K16" s="8" t="s">
        <v>69</v>
      </c>
      <c r="L16" s="8" t="s">
        <v>52</v>
      </c>
      <c r="M16" s="8" t="s">
        <v>53</v>
      </c>
      <c r="N16" s="8" t="s">
        <v>70</v>
      </c>
    </row>
    <row r="17" spans="1:14" ht="52.8" x14ac:dyDescent="0.4">
      <c r="A17" s="8" t="s">
        <v>127</v>
      </c>
      <c r="B17" s="8" t="s">
        <v>45</v>
      </c>
      <c r="C17" s="8" t="s">
        <v>132</v>
      </c>
      <c r="D17" s="8" t="s">
        <v>56</v>
      </c>
      <c r="E17" s="8" t="s">
        <v>133</v>
      </c>
      <c r="F17" s="8" t="s">
        <v>73</v>
      </c>
      <c r="G17" s="8" t="s">
        <v>134</v>
      </c>
      <c r="H17" s="8" t="s">
        <v>105</v>
      </c>
      <c r="I17" s="8"/>
      <c r="J17" s="8"/>
      <c r="K17" s="8" t="s">
        <v>76</v>
      </c>
      <c r="L17" s="8" t="s">
        <v>52</v>
      </c>
      <c r="M17" s="8" t="s">
        <v>62</v>
      </c>
      <c r="N17" s="8" t="s">
        <v>135</v>
      </c>
    </row>
    <row r="18" spans="1:14" ht="66" x14ac:dyDescent="0.4">
      <c r="A18" s="8" t="s">
        <v>127</v>
      </c>
      <c r="B18" s="8" t="s">
        <v>78</v>
      </c>
      <c r="C18" s="8" t="s">
        <v>79</v>
      </c>
      <c r="D18" s="8"/>
      <c r="E18" s="8" t="s">
        <v>80</v>
      </c>
      <c r="F18" s="8" t="s">
        <v>81</v>
      </c>
      <c r="G18" s="8" t="s">
        <v>82</v>
      </c>
      <c r="H18" s="8" t="s">
        <v>83</v>
      </c>
      <c r="I18" s="8" t="s">
        <v>84</v>
      </c>
      <c r="J18" s="8" t="s">
        <v>85</v>
      </c>
      <c r="K18" s="8" t="s">
        <v>86</v>
      </c>
      <c r="L18" s="8" t="s">
        <v>52</v>
      </c>
      <c r="M18" s="8" t="s">
        <v>53</v>
      </c>
      <c r="N18" s="8" t="s">
        <v>87</v>
      </c>
    </row>
    <row r="19" spans="1:14" ht="92.4" x14ac:dyDescent="0.4">
      <c r="A19" s="8" t="s">
        <v>127</v>
      </c>
      <c r="B19" s="8" t="s">
        <v>88</v>
      </c>
      <c r="C19" s="8" t="s">
        <v>89</v>
      </c>
      <c r="D19" s="8" t="s">
        <v>90</v>
      </c>
      <c r="E19" s="8" t="s">
        <v>91</v>
      </c>
      <c r="F19" s="8" t="s">
        <v>92</v>
      </c>
      <c r="G19" s="8" t="s">
        <v>93</v>
      </c>
      <c r="H19" s="8" t="s">
        <v>94</v>
      </c>
      <c r="I19" s="8" t="s">
        <v>95</v>
      </c>
      <c r="J19" s="8" t="s">
        <v>96</v>
      </c>
      <c r="K19" s="8" t="s">
        <v>97</v>
      </c>
      <c r="L19" s="8" t="s">
        <v>52</v>
      </c>
      <c r="M19" s="8" t="s">
        <v>98</v>
      </c>
      <c r="N19" s="8" t="s">
        <v>99</v>
      </c>
    </row>
    <row r="20" spans="1:14" ht="79.2" x14ac:dyDescent="0.4">
      <c r="A20" s="8" t="s">
        <v>127</v>
      </c>
      <c r="B20" s="8" t="s">
        <v>88</v>
      </c>
      <c r="C20" s="8" t="s">
        <v>100</v>
      </c>
      <c r="D20" s="8" t="s">
        <v>101</v>
      </c>
      <c r="E20" s="8" t="s">
        <v>102</v>
      </c>
      <c r="F20" s="8" t="s">
        <v>103</v>
      </c>
      <c r="G20" s="8" t="s">
        <v>104</v>
      </c>
      <c r="H20" s="8" t="s">
        <v>105</v>
      </c>
      <c r="I20" s="8" t="s">
        <v>95</v>
      </c>
      <c r="J20" s="8" t="s">
        <v>106</v>
      </c>
      <c r="K20" s="8" t="s">
        <v>107</v>
      </c>
      <c r="L20" s="8" t="s">
        <v>52</v>
      </c>
      <c r="M20" s="8" t="s">
        <v>108</v>
      </c>
      <c r="N20" s="8" t="s">
        <v>109</v>
      </c>
    </row>
    <row r="21" spans="1:14" ht="92.4" x14ac:dyDescent="0.4">
      <c r="A21" s="8" t="s">
        <v>127</v>
      </c>
      <c r="B21" s="8" t="s">
        <v>88</v>
      </c>
      <c r="C21" s="8" t="s">
        <v>110</v>
      </c>
      <c r="D21" s="8" t="s">
        <v>111</v>
      </c>
      <c r="E21" s="8" t="s">
        <v>112</v>
      </c>
      <c r="F21" s="8" t="s">
        <v>113</v>
      </c>
      <c r="G21" s="8" t="s">
        <v>114</v>
      </c>
      <c r="H21" s="8" t="s">
        <v>115</v>
      </c>
      <c r="I21" s="8" t="s">
        <v>95</v>
      </c>
      <c r="J21" s="8" t="s">
        <v>116</v>
      </c>
      <c r="K21" s="8" t="s">
        <v>117</v>
      </c>
      <c r="L21" s="8" t="s">
        <v>52</v>
      </c>
      <c r="M21" s="8" t="s">
        <v>118</v>
      </c>
      <c r="N21" s="8" t="s">
        <v>119</v>
      </c>
    </row>
    <row r="22" spans="1:14" ht="52.8" x14ac:dyDescent="0.4">
      <c r="A22" s="8" t="s">
        <v>127</v>
      </c>
      <c r="B22" s="8" t="s">
        <v>45</v>
      </c>
      <c r="C22" s="8" t="s">
        <v>136</v>
      </c>
      <c r="D22" s="8" t="s">
        <v>137</v>
      </c>
      <c r="E22" s="8" t="s">
        <v>138</v>
      </c>
      <c r="F22" s="8" t="s">
        <v>73</v>
      </c>
      <c r="G22" s="8" t="s">
        <v>139</v>
      </c>
      <c r="H22" s="8" t="s">
        <v>105</v>
      </c>
      <c r="I22" s="8"/>
      <c r="J22" s="8"/>
      <c r="K22" s="8" t="s">
        <v>76</v>
      </c>
      <c r="L22" s="8" t="s">
        <v>52</v>
      </c>
      <c r="M22" s="8" t="s">
        <v>62</v>
      </c>
      <c r="N22" s="8" t="s">
        <v>140</v>
      </c>
    </row>
  </sheetData>
  <autoFilter ref="A4:N22" xr:uid="{00000000-0009-0000-0000-000001000000}"/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workbookViewId="0">
      <pane ySplit="4" topLeftCell="A5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16" customWidth="1"/>
    <col min="3" max="3" width="7" customWidth="1"/>
    <col min="4" max="4" width="40" customWidth="1"/>
    <col min="5" max="5" width="16" customWidth="1"/>
    <col min="6" max="6" width="60" customWidth="1"/>
    <col min="7" max="7" width="16" customWidth="1"/>
  </cols>
  <sheetData>
    <row r="1" spans="1:7" ht="18.600000000000001" x14ac:dyDescent="0.4">
      <c r="A1" s="1" t="s">
        <v>141</v>
      </c>
    </row>
    <row r="2" spans="1:7" x14ac:dyDescent="0.4">
      <c r="A2" s="2" t="s">
        <v>142</v>
      </c>
    </row>
    <row r="4" spans="1:7" x14ac:dyDescent="0.4">
      <c r="A4" s="7" t="s">
        <v>31</v>
      </c>
      <c r="B4" s="7" t="s">
        <v>143</v>
      </c>
      <c r="C4" s="7" t="s">
        <v>144</v>
      </c>
      <c r="D4" s="7" t="s">
        <v>145</v>
      </c>
      <c r="E4" s="7" t="s">
        <v>146</v>
      </c>
      <c r="F4" s="7" t="s">
        <v>147</v>
      </c>
      <c r="G4" s="7" t="s">
        <v>148</v>
      </c>
    </row>
    <row r="5" spans="1:7" x14ac:dyDescent="0.4">
      <c r="A5" s="8" t="s">
        <v>44</v>
      </c>
      <c r="B5" s="8" t="s">
        <v>149</v>
      </c>
      <c r="C5" s="8"/>
      <c r="D5" s="8" t="s">
        <v>150</v>
      </c>
      <c r="E5" s="8" t="s">
        <v>151</v>
      </c>
      <c r="F5" s="8" t="s">
        <v>152</v>
      </c>
      <c r="G5" s="8" t="s">
        <v>153</v>
      </c>
    </row>
    <row r="6" spans="1:7" x14ac:dyDescent="0.4">
      <c r="A6" s="8" t="s">
        <v>44</v>
      </c>
      <c r="B6" s="8" t="s">
        <v>149</v>
      </c>
      <c r="C6" s="8"/>
      <c r="D6" s="8" t="s">
        <v>154</v>
      </c>
      <c r="E6" s="8" t="s">
        <v>155</v>
      </c>
      <c r="F6" s="8" t="s">
        <v>156</v>
      </c>
      <c r="G6" s="8" t="s">
        <v>157</v>
      </c>
    </row>
    <row r="7" spans="1:7" ht="26.4" x14ac:dyDescent="0.4">
      <c r="A7" s="8" t="s">
        <v>44</v>
      </c>
      <c r="B7" s="8" t="s">
        <v>149</v>
      </c>
      <c r="C7" s="8" t="s">
        <v>144</v>
      </c>
      <c r="D7" s="8" t="s">
        <v>158</v>
      </c>
      <c r="E7" s="8" t="s">
        <v>155</v>
      </c>
      <c r="F7" s="8" t="s">
        <v>159</v>
      </c>
      <c r="G7" s="8" t="s">
        <v>160</v>
      </c>
    </row>
    <row r="8" spans="1:7" x14ac:dyDescent="0.4">
      <c r="A8" s="8" t="s">
        <v>44</v>
      </c>
      <c r="B8" s="8" t="s">
        <v>149</v>
      </c>
      <c r="C8" s="8"/>
      <c r="D8" s="8" t="s">
        <v>161</v>
      </c>
      <c r="E8" s="8" t="s">
        <v>155</v>
      </c>
      <c r="F8" s="8" t="s">
        <v>156</v>
      </c>
      <c r="G8" s="8" t="s">
        <v>162</v>
      </c>
    </row>
    <row r="9" spans="1:7" ht="26.4" x14ac:dyDescent="0.4">
      <c r="A9" s="8" t="s">
        <v>44</v>
      </c>
      <c r="B9" s="8" t="s">
        <v>149</v>
      </c>
      <c r="C9" s="8" t="s">
        <v>144</v>
      </c>
      <c r="D9" s="8" t="s">
        <v>163</v>
      </c>
      <c r="E9" s="8" t="s">
        <v>155</v>
      </c>
      <c r="F9" s="8" t="s">
        <v>164</v>
      </c>
      <c r="G9" s="8" t="s">
        <v>162</v>
      </c>
    </row>
    <row r="10" spans="1:7" x14ac:dyDescent="0.4">
      <c r="A10" s="8" t="s">
        <v>44</v>
      </c>
      <c r="B10" s="8" t="s">
        <v>149</v>
      </c>
      <c r="C10" s="8"/>
      <c r="D10" s="8" t="s">
        <v>165</v>
      </c>
      <c r="E10" s="8" t="s">
        <v>155</v>
      </c>
      <c r="F10" s="8" t="s">
        <v>166</v>
      </c>
      <c r="G10" s="8" t="s">
        <v>167</v>
      </c>
    </row>
    <row r="11" spans="1:7" x14ac:dyDescent="0.4">
      <c r="A11" s="8" t="s">
        <v>44</v>
      </c>
      <c r="B11" s="8" t="s">
        <v>168</v>
      </c>
      <c r="C11" s="8"/>
      <c r="D11" s="8" t="s">
        <v>169</v>
      </c>
      <c r="E11" s="8" t="s">
        <v>151</v>
      </c>
      <c r="F11" s="8" t="s">
        <v>152</v>
      </c>
      <c r="G11" s="8" t="s">
        <v>153</v>
      </c>
    </row>
    <row r="12" spans="1:7" x14ac:dyDescent="0.4">
      <c r="A12" s="8" t="s">
        <v>44</v>
      </c>
      <c r="B12" s="8" t="s">
        <v>168</v>
      </c>
      <c r="C12" s="8"/>
      <c r="D12" s="8" t="s">
        <v>170</v>
      </c>
      <c r="E12" s="8" t="s">
        <v>155</v>
      </c>
      <c r="F12" s="8" t="s">
        <v>156</v>
      </c>
      <c r="G12" s="8" t="s">
        <v>171</v>
      </c>
    </row>
    <row r="13" spans="1:7" x14ac:dyDescent="0.4">
      <c r="A13" s="8" t="s">
        <v>44</v>
      </c>
      <c r="B13" s="8" t="s">
        <v>168</v>
      </c>
      <c r="C13" s="8"/>
      <c r="D13" s="8" t="s">
        <v>165</v>
      </c>
      <c r="E13" s="8" t="s">
        <v>155</v>
      </c>
      <c r="F13" s="8" t="s">
        <v>166</v>
      </c>
      <c r="G13" s="8" t="s">
        <v>167</v>
      </c>
    </row>
    <row r="14" spans="1:7" x14ac:dyDescent="0.4">
      <c r="A14" s="8" t="s">
        <v>44</v>
      </c>
      <c r="B14" s="8" t="s">
        <v>168</v>
      </c>
      <c r="C14" s="8"/>
      <c r="D14" s="8" t="s">
        <v>172</v>
      </c>
      <c r="E14" s="8" t="s">
        <v>155</v>
      </c>
      <c r="F14" s="8" t="s">
        <v>173</v>
      </c>
      <c r="G14" s="8" t="s">
        <v>162</v>
      </c>
    </row>
    <row r="15" spans="1:7" x14ac:dyDescent="0.4">
      <c r="A15" s="8" t="s">
        <v>44</v>
      </c>
      <c r="B15" s="8" t="s">
        <v>174</v>
      </c>
      <c r="C15" s="8"/>
      <c r="D15" s="8" t="s">
        <v>175</v>
      </c>
      <c r="E15" s="8" t="s">
        <v>155</v>
      </c>
      <c r="F15" s="8" t="s">
        <v>156</v>
      </c>
      <c r="G15" s="8" t="s">
        <v>176</v>
      </c>
    </row>
    <row r="16" spans="1:7" x14ac:dyDescent="0.4">
      <c r="A16" s="8" t="s">
        <v>44</v>
      </c>
      <c r="B16" s="8" t="s">
        <v>174</v>
      </c>
      <c r="C16" s="8"/>
      <c r="D16" s="8" t="s">
        <v>165</v>
      </c>
      <c r="E16" s="8" t="s">
        <v>155</v>
      </c>
      <c r="F16" s="8" t="s">
        <v>166</v>
      </c>
      <c r="G16" s="8" t="s">
        <v>167</v>
      </c>
    </row>
    <row r="17" spans="1:7" x14ac:dyDescent="0.4">
      <c r="A17" s="8" t="s">
        <v>44</v>
      </c>
      <c r="B17" s="8" t="s">
        <v>174</v>
      </c>
      <c r="C17" s="8"/>
      <c r="D17" s="8" t="s">
        <v>172</v>
      </c>
      <c r="E17" s="8" t="s">
        <v>155</v>
      </c>
      <c r="F17" s="8" t="s">
        <v>173</v>
      </c>
      <c r="G17" s="8" t="s">
        <v>162</v>
      </c>
    </row>
    <row r="18" spans="1:7" x14ac:dyDescent="0.4">
      <c r="A18" s="8" t="s">
        <v>44</v>
      </c>
      <c r="B18" s="8" t="s">
        <v>177</v>
      </c>
      <c r="C18" s="8"/>
      <c r="D18" s="8" t="s">
        <v>178</v>
      </c>
      <c r="E18" s="8" t="s">
        <v>155</v>
      </c>
      <c r="F18" s="8" t="s">
        <v>156</v>
      </c>
      <c r="G18" s="8" t="s">
        <v>179</v>
      </c>
    </row>
    <row r="19" spans="1:7" x14ac:dyDescent="0.4">
      <c r="A19" s="8" t="s">
        <v>44</v>
      </c>
      <c r="B19" s="8" t="s">
        <v>177</v>
      </c>
      <c r="C19" s="8" t="s">
        <v>144</v>
      </c>
      <c r="D19" s="8" t="s">
        <v>180</v>
      </c>
      <c r="E19" s="8" t="s">
        <v>155</v>
      </c>
      <c r="F19" s="8" t="s">
        <v>181</v>
      </c>
      <c r="G19" s="8" t="s">
        <v>162</v>
      </c>
    </row>
    <row r="20" spans="1:7" x14ac:dyDescent="0.4">
      <c r="A20" s="8" t="s">
        <v>44</v>
      </c>
      <c r="B20" s="8" t="s">
        <v>177</v>
      </c>
      <c r="C20" s="8"/>
      <c r="D20" s="8" t="s">
        <v>165</v>
      </c>
      <c r="E20" s="8" t="s">
        <v>155</v>
      </c>
      <c r="F20" s="8" t="s">
        <v>166</v>
      </c>
      <c r="G20" s="8" t="s">
        <v>167</v>
      </c>
    </row>
    <row r="21" spans="1:7" x14ac:dyDescent="0.4">
      <c r="A21" s="8" t="s">
        <v>44</v>
      </c>
      <c r="B21" s="8" t="s">
        <v>182</v>
      </c>
      <c r="C21" s="8"/>
      <c r="D21" s="8" t="s">
        <v>183</v>
      </c>
      <c r="E21" s="8" t="s">
        <v>155</v>
      </c>
      <c r="F21" s="8" t="s">
        <v>156</v>
      </c>
      <c r="G21" s="8" t="s">
        <v>184</v>
      </c>
    </row>
    <row r="22" spans="1:7" x14ac:dyDescent="0.4">
      <c r="A22" s="8" t="s">
        <v>44</v>
      </c>
      <c r="B22" s="8" t="s">
        <v>182</v>
      </c>
      <c r="C22" s="8"/>
      <c r="D22" s="8" t="s">
        <v>165</v>
      </c>
      <c r="E22" s="8" t="s">
        <v>155</v>
      </c>
      <c r="F22" s="8" t="s">
        <v>166</v>
      </c>
      <c r="G22" s="8" t="s">
        <v>167</v>
      </c>
    </row>
    <row r="23" spans="1:7" x14ac:dyDescent="0.4">
      <c r="A23" s="8" t="s">
        <v>44</v>
      </c>
      <c r="B23" s="8" t="s">
        <v>182</v>
      </c>
      <c r="C23" s="8"/>
      <c r="D23" s="8" t="s">
        <v>172</v>
      </c>
      <c r="E23" s="8" t="s">
        <v>155</v>
      </c>
      <c r="F23" s="8" t="s">
        <v>173</v>
      </c>
      <c r="G23" s="8" t="s">
        <v>162</v>
      </c>
    </row>
    <row r="24" spans="1:7" x14ac:dyDescent="0.4">
      <c r="A24" s="8" t="s">
        <v>127</v>
      </c>
      <c r="B24" s="8" t="s">
        <v>149</v>
      </c>
      <c r="C24" s="8"/>
      <c r="D24" s="8" t="s">
        <v>150</v>
      </c>
      <c r="E24" s="8" t="s">
        <v>151</v>
      </c>
      <c r="F24" s="8" t="s">
        <v>152</v>
      </c>
      <c r="G24" s="8" t="s">
        <v>153</v>
      </c>
    </row>
    <row r="25" spans="1:7" x14ac:dyDescent="0.4">
      <c r="A25" s="8" t="s">
        <v>127</v>
      </c>
      <c r="B25" s="8" t="s">
        <v>149</v>
      </c>
      <c r="C25" s="8"/>
      <c r="D25" s="8" t="s">
        <v>154</v>
      </c>
      <c r="E25" s="8" t="s">
        <v>155</v>
      </c>
      <c r="F25" s="8" t="s">
        <v>156</v>
      </c>
      <c r="G25" s="8" t="s">
        <v>185</v>
      </c>
    </row>
    <row r="26" spans="1:7" ht="39.6" x14ac:dyDescent="0.4">
      <c r="A26" s="8" t="s">
        <v>127</v>
      </c>
      <c r="B26" s="8" t="s">
        <v>149</v>
      </c>
      <c r="C26" s="8" t="s">
        <v>144</v>
      </c>
      <c r="D26" s="8" t="s">
        <v>158</v>
      </c>
      <c r="E26" s="8" t="s">
        <v>155</v>
      </c>
      <c r="F26" s="8" t="s">
        <v>159</v>
      </c>
      <c r="G26" s="8" t="s">
        <v>186</v>
      </c>
    </row>
    <row r="27" spans="1:7" x14ac:dyDescent="0.4">
      <c r="A27" s="8" t="s">
        <v>127</v>
      </c>
      <c r="B27" s="8" t="s">
        <v>149</v>
      </c>
      <c r="C27" s="8"/>
      <c r="D27" s="8" t="s">
        <v>161</v>
      </c>
      <c r="E27" s="8" t="s">
        <v>155</v>
      </c>
      <c r="F27" s="8" t="s">
        <v>156</v>
      </c>
      <c r="G27" s="8" t="s">
        <v>176</v>
      </c>
    </row>
    <row r="28" spans="1:7" ht="26.4" x14ac:dyDescent="0.4">
      <c r="A28" s="8" t="s">
        <v>127</v>
      </c>
      <c r="B28" s="8" t="s">
        <v>149</v>
      </c>
      <c r="C28" s="8" t="s">
        <v>144</v>
      </c>
      <c r="D28" s="8" t="s">
        <v>163</v>
      </c>
      <c r="E28" s="8" t="s">
        <v>155</v>
      </c>
      <c r="F28" s="8" t="s">
        <v>164</v>
      </c>
      <c r="G28" s="8" t="s">
        <v>167</v>
      </c>
    </row>
    <row r="29" spans="1:7" x14ac:dyDescent="0.4">
      <c r="A29" s="8" t="s">
        <v>127</v>
      </c>
      <c r="B29" s="8" t="s">
        <v>149</v>
      </c>
      <c r="C29" s="8"/>
      <c r="D29" s="8" t="s">
        <v>165</v>
      </c>
      <c r="E29" s="8" t="s">
        <v>155</v>
      </c>
      <c r="F29" s="8" t="s">
        <v>166</v>
      </c>
      <c r="G29" s="8" t="s">
        <v>187</v>
      </c>
    </row>
    <row r="30" spans="1:7" x14ac:dyDescent="0.4">
      <c r="A30" s="8" t="s">
        <v>127</v>
      </c>
      <c r="B30" s="8" t="s">
        <v>168</v>
      </c>
      <c r="C30" s="8"/>
      <c r="D30" s="8" t="s">
        <v>169</v>
      </c>
      <c r="E30" s="8" t="s">
        <v>151</v>
      </c>
      <c r="F30" s="8" t="s">
        <v>152</v>
      </c>
      <c r="G30" s="8" t="s">
        <v>153</v>
      </c>
    </row>
    <row r="31" spans="1:7" x14ac:dyDescent="0.4">
      <c r="A31" s="8" t="s">
        <v>127</v>
      </c>
      <c r="B31" s="8" t="s">
        <v>168</v>
      </c>
      <c r="C31" s="8"/>
      <c r="D31" s="8" t="s">
        <v>170</v>
      </c>
      <c r="E31" s="8" t="s">
        <v>155</v>
      </c>
      <c r="F31" s="8" t="s">
        <v>156</v>
      </c>
      <c r="G31" s="8" t="s">
        <v>176</v>
      </c>
    </row>
    <row r="32" spans="1:7" x14ac:dyDescent="0.4">
      <c r="A32" s="8" t="s">
        <v>127</v>
      </c>
      <c r="B32" s="8" t="s">
        <v>168</v>
      </c>
      <c r="C32" s="8"/>
      <c r="D32" s="8" t="s">
        <v>165</v>
      </c>
      <c r="E32" s="8" t="s">
        <v>155</v>
      </c>
      <c r="F32" s="8" t="s">
        <v>166</v>
      </c>
      <c r="G32" s="8" t="s">
        <v>187</v>
      </c>
    </row>
    <row r="33" spans="1:7" x14ac:dyDescent="0.4">
      <c r="A33" s="8" t="s">
        <v>127</v>
      </c>
      <c r="B33" s="8" t="s">
        <v>168</v>
      </c>
      <c r="C33" s="8"/>
      <c r="D33" s="8" t="s">
        <v>172</v>
      </c>
      <c r="E33" s="8" t="s">
        <v>155</v>
      </c>
      <c r="F33" s="8" t="s">
        <v>173</v>
      </c>
      <c r="G33" s="8" t="s">
        <v>162</v>
      </c>
    </row>
    <row r="34" spans="1:7" x14ac:dyDescent="0.4">
      <c r="A34" s="8" t="s">
        <v>127</v>
      </c>
      <c r="B34" s="8" t="s">
        <v>174</v>
      </c>
      <c r="C34" s="8"/>
      <c r="D34" s="8" t="s">
        <v>175</v>
      </c>
      <c r="E34" s="8" t="s">
        <v>155</v>
      </c>
      <c r="F34" s="8" t="s">
        <v>156</v>
      </c>
      <c r="G34" s="8" t="s">
        <v>171</v>
      </c>
    </row>
    <row r="35" spans="1:7" x14ac:dyDescent="0.4">
      <c r="A35" s="8" t="s">
        <v>127</v>
      </c>
      <c r="B35" s="8" t="s">
        <v>174</v>
      </c>
      <c r="C35" s="8"/>
      <c r="D35" s="8" t="s">
        <v>165</v>
      </c>
      <c r="E35" s="8" t="s">
        <v>155</v>
      </c>
      <c r="F35" s="8" t="s">
        <v>166</v>
      </c>
      <c r="G35" s="8" t="s">
        <v>187</v>
      </c>
    </row>
    <row r="36" spans="1:7" x14ac:dyDescent="0.4">
      <c r="A36" s="8" t="s">
        <v>127</v>
      </c>
      <c r="B36" s="8" t="s">
        <v>174</v>
      </c>
      <c r="C36" s="8"/>
      <c r="D36" s="8" t="s">
        <v>172</v>
      </c>
      <c r="E36" s="8" t="s">
        <v>155</v>
      </c>
      <c r="F36" s="8" t="s">
        <v>173</v>
      </c>
      <c r="G36" s="8" t="s">
        <v>162</v>
      </c>
    </row>
    <row r="37" spans="1:7" x14ac:dyDescent="0.4">
      <c r="A37" s="8" t="s">
        <v>127</v>
      </c>
      <c r="B37" s="8" t="s">
        <v>177</v>
      </c>
      <c r="C37" s="8"/>
      <c r="D37" s="8" t="s">
        <v>178</v>
      </c>
      <c r="E37" s="8" t="s">
        <v>155</v>
      </c>
      <c r="F37" s="8" t="s">
        <v>156</v>
      </c>
      <c r="G37" s="8" t="s">
        <v>179</v>
      </c>
    </row>
    <row r="38" spans="1:7" x14ac:dyDescent="0.4">
      <c r="A38" s="8" t="s">
        <v>127</v>
      </c>
      <c r="B38" s="8" t="s">
        <v>177</v>
      </c>
      <c r="C38" s="8" t="s">
        <v>144</v>
      </c>
      <c r="D38" s="8" t="s">
        <v>180</v>
      </c>
      <c r="E38" s="8" t="s">
        <v>155</v>
      </c>
      <c r="F38" s="8" t="s">
        <v>181</v>
      </c>
      <c r="G38" s="8" t="s">
        <v>162</v>
      </c>
    </row>
    <row r="39" spans="1:7" x14ac:dyDescent="0.4">
      <c r="A39" s="8" t="s">
        <v>127</v>
      </c>
      <c r="B39" s="8" t="s">
        <v>177</v>
      </c>
      <c r="C39" s="8"/>
      <c r="D39" s="8" t="s">
        <v>165</v>
      </c>
      <c r="E39" s="8" t="s">
        <v>155</v>
      </c>
      <c r="F39" s="8" t="s">
        <v>166</v>
      </c>
      <c r="G39" s="8" t="s">
        <v>187</v>
      </c>
    </row>
    <row r="40" spans="1:7" x14ac:dyDescent="0.4">
      <c r="A40" s="8" t="s">
        <v>127</v>
      </c>
      <c r="B40" s="8" t="s">
        <v>182</v>
      </c>
      <c r="C40" s="8"/>
      <c r="D40" s="8" t="s">
        <v>183</v>
      </c>
      <c r="E40" s="8" t="s">
        <v>155</v>
      </c>
      <c r="F40" s="8" t="s">
        <v>156</v>
      </c>
      <c r="G40" s="8" t="s">
        <v>184</v>
      </c>
    </row>
    <row r="41" spans="1:7" x14ac:dyDescent="0.4">
      <c r="A41" s="8" t="s">
        <v>127</v>
      </c>
      <c r="B41" s="8" t="s">
        <v>182</v>
      </c>
      <c r="C41" s="8"/>
      <c r="D41" s="8" t="s">
        <v>165</v>
      </c>
      <c r="E41" s="8" t="s">
        <v>155</v>
      </c>
      <c r="F41" s="8" t="s">
        <v>166</v>
      </c>
      <c r="G41" s="8" t="s">
        <v>187</v>
      </c>
    </row>
    <row r="42" spans="1:7" x14ac:dyDescent="0.4">
      <c r="A42" s="8" t="s">
        <v>127</v>
      </c>
      <c r="B42" s="8" t="s">
        <v>182</v>
      </c>
      <c r="C42" s="8"/>
      <c r="D42" s="8" t="s">
        <v>172</v>
      </c>
      <c r="E42" s="8" t="s">
        <v>155</v>
      </c>
      <c r="F42" s="8" t="s">
        <v>173</v>
      </c>
      <c r="G42" s="8" t="s">
        <v>162</v>
      </c>
    </row>
  </sheetData>
  <autoFilter ref="A4:G42" xr:uid="{00000000-0009-0000-0000-000002000000}"/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pane ySplit="4" topLeftCell="A5" activePane="bottomLeft" state="frozen"/>
      <selection pane="bottomLeft"/>
    </sheetView>
  </sheetViews>
  <sheetFormatPr defaultRowHeight="17.399999999999999" x14ac:dyDescent="0.4"/>
  <cols>
    <col min="1" max="1" width="22" customWidth="1"/>
    <col min="2" max="2" width="36" customWidth="1"/>
    <col min="3" max="3" width="80" customWidth="1"/>
  </cols>
  <sheetData>
    <row r="1" spans="1:3" ht="18.600000000000001" x14ac:dyDescent="0.4">
      <c r="A1" s="1" t="s">
        <v>188</v>
      </c>
    </row>
    <row r="2" spans="1:3" x14ac:dyDescent="0.4">
      <c r="A2" s="2" t="s">
        <v>189</v>
      </c>
    </row>
    <row r="4" spans="1:3" x14ac:dyDescent="0.4">
      <c r="A4" s="7" t="s">
        <v>143</v>
      </c>
      <c r="B4" s="7" t="s">
        <v>190</v>
      </c>
      <c r="C4" s="7" t="s">
        <v>191</v>
      </c>
    </row>
    <row r="5" spans="1:3" x14ac:dyDescent="0.4">
      <c r="A5" s="8" t="s">
        <v>149</v>
      </c>
      <c r="B5" s="8" t="s">
        <v>192</v>
      </c>
      <c r="C5" s="8" t="s">
        <v>193</v>
      </c>
    </row>
    <row r="6" spans="1:3" x14ac:dyDescent="0.4">
      <c r="A6" s="8" t="s">
        <v>149</v>
      </c>
      <c r="B6" s="8" t="s">
        <v>194</v>
      </c>
      <c r="C6" s="8" t="s">
        <v>195</v>
      </c>
    </row>
    <row r="7" spans="1:3" x14ac:dyDescent="0.4">
      <c r="A7" s="8" t="s">
        <v>168</v>
      </c>
      <c r="B7" s="8" t="s">
        <v>196</v>
      </c>
      <c r="C7" s="8" t="s">
        <v>197</v>
      </c>
    </row>
    <row r="8" spans="1:3" x14ac:dyDescent="0.4">
      <c r="A8" s="8" t="s">
        <v>168</v>
      </c>
      <c r="B8" s="8" t="s">
        <v>198</v>
      </c>
      <c r="C8" s="8" t="s">
        <v>199</v>
      </c>
    </row>
    <row r="9" spans="1:3" x14ac:dyDescent="0.4">
      <c r="A9" s="8" t="s">
        <v>174</v>
      </c>
      <c r="B9" s="8" t="s">
        <v>200</v>
      </c>
      <c r="C9" s="8" t="s">
        <v>201</v>
      </c>
    </row>
    <row r="10" spans="1:3" x14ac:dyDescent="0.4">
      <c r="A10" s="8" t="s">
        <v>174</v>
      </c>
      <c r="B10" s="8" t="s">
        <v>202</v>
      </c>
      <c r="C10" s="8" t="s">
        <v>203</v>
      </c>
    </row>
    <row r="11" spans="1:3" x14ac:dyDescent="0.4">
      <c r="A11" s="8" t="s">
        <v>177</v>
      </c>
      <c r="B11" s="8" t="s">
        <v>204</v>
      </c>
      <c r="C11" s="8" t="s">
        <v>205</v>
      </c>
    </row>
    <row r="12" spans="1:3" x14ac:dyDescent="0.4">
      <c r="A12" s="8" t="s">
        <v>177</v>
      </c>
      <c r="B12" s="8" t="s">
        <v>206</v>
      </c>
      <c r="C12" s="8" t="s">
        <v>207</v>
      </c>
    </row>
    <row r="13" spans="1:3" x14ac:dyDescent="0.4">
      <c r="A13" s="8" t="s">
        <v>182</v>
      </c>
      <c r="B13" s="8" t="s">
        <v>208</v>
      </c>
      <c r="C13" s="8" t="s">
        <v>209</v>
      </c>
    </row>
    <row r="14" spans="1:3" x14ac:dyDescent="0.4">
      <c r="A14" s="8" t="s">
        <v>210</v>
      </c>
      <c r="B14" s="8" t="s">
        <v>211</v>
      </c>
      <c r="C14" s="8" t="s">
        <v>212</v>
      </c>
    </row>
    <row r="15" spans="1:3" x14ac:dyDescent="0.4">
      <c r="A15" s="8" t="s">
        <v>210</v>
      </c>
      <c r="B15" s="8" t="s">
        <v>213</v>
      </c>
      <c r="C15" s="8" t="s">
        <v>214</v>
      </c>
    </row>
    <row r="16" spans="1:3" x14ac:dyDescent="0.4">
      <c r="A16" s="8" t="s">
        <v>215</v>
      </c>
      <c r="B16" s="8" t="s">
        <v>216</v>
      </c>
      <c r="C16" s="8" t="s">
        <v>217</v>
      </c>
    </row>
    <row r="17" spans="1:3" x14ac:dyDescent="0.4">
      <c r="A17" s="8" t="s">
        <v>218</v>
      </c>
      <c r="B17" s="8" t="s">
        <v>219</v>
      </c>
      <c r="C17" s="8" t="s">
        <v>220</v>
      </c>
    </row>
  </sheetData>
  <autoFilter ref="A4:C17" xr:uid="{00000000-0009-0000-0000-000003000000}"/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pane ySplit="4" topLeftCell="A5" activePane="bottomLeft" state="frozen"/>
      <selection pane="bottomLeft"/>
    </sheetView>
  </sheetViews>
  <sheetFormatPr defaultRowHeight="17.399999999999999" x14ac:dyDescent="0.4"/>
  <cols>
    <col min="1" max="1" width="14" customWidth="1"/>
    <col min="2" max="2" width="40" customWidth="1"/>
    <col min="3" max="3" width="14" customWidth="1"/>
    <col min="4" max="4" width="40" customWidth="1"/>
    <col min="5" max="5" width="60" customWidth="1"/>
    <col min="6" max="6" width="14" customWidth="1"/>
  </cols>
  <sheetData>
    <row r="1" spans="1:6" ht="18.600000000000001" x14ac:dyDescent="0.4">
      <c r="A1" s="1" t="s">
        <v>10</v>
      </c>
    </row>
    <row r="2" spans="1:6" x14ac:dyDescent="0.4">
      <c r="A2" s="2" t="s">
        <v>221</v>
      </c>
    </row>
    <row r="4" spans="1:6" x14ac:dyDescent="0.4">
      <c r="A4" s="7" t="s">
        <v>31</v>
      </c>
      <c r="B4" s="7" t="s">
        <v>222</v>
      </c>
      <c r="C4" s="7" t="s">
        <v>223</v>
      </c>
      <c r="D4" s="7" t="s">
        <v>224</v>
      </c>
      <c r="E4" s="7" t="s">
        <v>225</v>
      </c>
      <c r="F4" s="7" t="s">
        <v>42</v>
      </c>
    </row>
    <row r="5" spans="1:6" ht="26.4" x14ac:dyDescent="0.4">
      <c r="A5" s="8" t="s">
        <v>44</v>
      </c>
      <c r="B5" s="8" t="s">
        <v>226</v>
      </c>
      <c r="C5" s="8" t="s">
        <v>227</v>
      </c>
      <c r="D5" s="8" t="s">
        <v>228</v>
      </c>
      <c r="E5" s="8" t="s">
        <v>229</v>
      </c>
      <c r="F5" s="8" t="s">
        <v>53</v>
      </c>
    </row>
    <row r="6" spans="1:6" x14ac:dyDescent="0.4">
      <c r="A6" s="8" t="s">
        <v>127</v>
      </c>
      <c r="B6" s="8" t="s">
        <v>226</v>
      </c>
      <c r="C6" s="8" t="s">
        <v>230</v>
      </c>
      <c r="D6" s="8" t="s">
        <v>231</v>
      </c>
      <c r="E6" s="8" t="s">
        <v>232</v>
      </c>
      <c r="F6" s="8" t="s">
        <v>53</v>
      </c>
    </row>
    <row r="7" spans="1:6" x14ac:dyDescent="0.4">
      <c r="A7" s="8" t="s">
        <v>233</v>
      </c>
      <c r="B7" s="8" t="s">
        <v>234</v>
      </c>
      <c r="C7" s="8" t="s">
        <v>235</v>
      </c>
      <c r="D7" s="8" t="s">
        <v>236</v>
      </c>
      <c r="E7" s="8" t="s">
        <v>237</v>
      </c>
      <c r="F7" s="8"/>
    </row>
    <row r="8" spans="1:6" x14ac:dyDescent="0.4">
      <c r="A8" s="8" t="s">
        <v>233</v>
      </c>
      <c r="B8" s="8" t="s">
        <v>238</v>
      </c>
      <c r="C8" s="8" t="s">
        <v>239</v>
      </c>
      <c r="D8" s="8" t="s">
        <v>240</v>
      </c>
      <c r="E8" s="8" t="s">
        <v>241</v>
      </c>
      <c r="F8" s="8"/>
    </row>
    <row r="9" spans="1:6" x14ac:dyDescent="0.4">
      <c r="A9" s="8" t="s">
        <v>233</v>
      </c>
      <c r="B9" s="8" t="s">
        <v>242</v>
      </c>
      <c r="C9" s="8" t="s">
        <v>243</v>
      </c>
      <c r="D9" s="8" t="s">
        <v>244</v>
      </c>
      <c r="E9" s="8"/>
      <c r="F9" s="8"/>
    </row>
    <row r="10" spans="1:6" x14ac:dyDescent="0.4">
      <c r="A10" s="8" t="s">
        <v>233</v>
      </c>
      <c r="B10" s="8" t="s">
        <v>245</v>
      </c>
      <c r="C10" s="8" t="s">
        <v>246</v>
      </c>
      <c r="D10" s="8" t="s">
        <v>247</v>
      </c>
      <c r="E10" s="8" t="s">
        <v>248</v>
      </c>
      <c r="F10" s="8"/>
    </row>
    <row r="11" spans="1:6" x14ac:dyDescent="0.4">
      <c r="A11" s="8" t="s">
        <v>233</v>
      </c>
      <c r="B11" s="8" t="s">
        <v>249</v>
      </c>
      <c r="C11" s="8"/>
      <c r="D11" s="8" t="s">
        <v>250</v>
      </c>
      <c r="E11" s="8"/>
      <c r="F11" s="8"/>
    </row>
  </sheetData>
  <autoFilter ref="A4:F11" xr:uid="{00000000-0009-0000-0000-000004000000}"/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7"/>
  <sheetViews>
    <sheetView workbookViewId="0">
      <pane ySplit="4" topLeftCell="A5" activePane="bottomLeft" state="frozen"/>
      <selection pane="bottomLeft"/>
    </sheetView>
  </sheetViews>
  <sheetFormatPr defaultRowHeight="17.399999999999999" x14ac:dyDescent="0.4"/>
  <cols>
    <col min="1" max="1" width="14" customWidth="1"/>
    <col min="2" max="2" width="10" customWidth="1"/>
    <col min="3" max="3" width="36" customWidth="1"/>
    <col min="4" max="4" width="60" customWidth="1"/>
    <col min="5" max="5" width="16" customWidth="1"/>
    <col min="6" max="6" width="14" customWidth="1"/>
    <col min="7" max="7" width="22" customWidth="1"/>
    <col min="8" max="8" width="12" customWidth="1"/>
    <col min="9" max="9" width="50" customWidth="1"/>
  </cols>
  <sheetData>
    <row r="1" spans="1:9" ht="18.600000000000001" x14ac:dyDescent="0.4">
      <c r="A1" s="1" t="s">
        <v>251</v>
      </c>
    </row>
    <row r="2" spans="1:9" x14ac:dyDescent="0.4">
      <c r="A2" s="2" t="s">
        <v>252</v>
      </c>
    </row>
    <row r="4" spans="1:9" x14ac:dyDescent="0.4">
      <c r="A4" s="7" t="s">
        <v>253</v>
      </c>
      <c r="B4" s="7" t="s">
        <v>254</v>
      </c>
      <c r="C4" s="7" t="s">
        <v>255</v>
      </c>
      <c r="D4" s="7" t="s">
        <v>256</v>
      </c>
      <c r="E4" s="7" t="s">
        <v>257</v>
      </c>
      <c r="F4" s="7" t="s">
        <v>258</v>
      </c>
      <c r="G4" s="7" t="s">
        <v>259</v>
      </c>
      <c r="H4" s="7" t="s">
        <v>260</v>
      </c>
      <c r="I4" s="7" t="s">
        <v>261</v>
      </c>
    </row>
    <row r="5" spans="1:9" ht="39.6" x14ac:dyDescent="0.4">
      <c r="A5" s="8" t="s">
        <v>44</v>
      </c>
      <c r="B5" s="8" t="s">
        <v>262</v>
      </c>
      <c r="C5" s="8" t="s">
        <v>263</v>
      </c>
      <c r="D5" s="8" t="s">
        <v>264</v>
      </c>
      <c r="E5" s="8" t="s">
        <v>265</v>
      </c>
      <c r="F5" s="8" t="s">
        <v>266</v>
      </c>
      <c r="G5" s="8" t="s">
        <v>267</v>
      </c>
      <c r="H5" s="8" t="s">
        <v>268</v>
      </c>
      <c r="I5" s="8" t="s">
        <v>269</v>
      </c>
    </row>
    <row r="6" spans="1:9" ht="39.6" x14ac:dyDescent="0.4">
      <c r="A6" s="8" t="s">
        <v>44</v>
      </c>
      <c r="B6" s="8" t="s">
        <v>270</v>
      </c>
      <c r="C6" s="8" t="s">
        <v>271</v>
      </c>
      <c r="D6" s="8" t="s">
        <v>272</v>
      </c>
      <c r="E6" s="8"/>
      <c r="F6" s="8" t="s">
        <v>266</v>
      </c>
      <c r="G6" s="8" t="s">
        <v>273</v>
      </c>
      <c r="H6" s="8" t="s">
        <v>274</v>
      </c>
      <c r="I6" s="8" t="s">
        <v>275</v>
      </c>
    </row>
    <row r="7" spans="1:9" ht="39.6" x14ac:dyDescent="0.4">
      <c r="A7" s="8" t="s">
        <v>44</v>
      </c>
      <c r="B7" s="8" t="s">
        <v>276</v>
      </c>
      <c r="C7" s="8" t="s">
        <v>277</v>
      </c>
      <c r="D7" s="8" t="s">
        <v>278</v>
      </c>
      <c r="E7" s="8"/>
      <c r="F7" s="8" t="s">
        <v>266</v>
      </c>
      <c r="G7" s="8" t="s">
        <v>279</v>
      </c>
      <c r="H7" s="8" t="s">
        <v>280</v>
      </c>
      <c r="I7" s="8" t="s">
        <v>281</v>
      </c>
    </row>
    <row r="8" spans="1:9" ht="39.6" x14ac:dyDescent="0.4">
      <c r="A8" s="8" t="s">
        <v>44</v>
      </c>
      <c r="B8" s="8" t="s">
        <v>282</v>
      </c>
      <c r="C8" s="8" t="s">
        <v>283</v>
      </c>
      <c r="D8" s="8" t="s">
        <v>284</v>
      </c>
      <c r="E8" s="8" t="s">
        <v>285</v>
      </c>
      <c r="F8" s="8" t="s">
        <v>266</v>
      </c>
      <c r="G8" s="8" t="s">
        <v>286</v>
      </c>
      <c r="H8" s="8" t="s">
        <v>287</v>
      </c>
      <c r="I8" s="8" t="s">
        <v>288</v>
      </c>
    </row>
    <row r="9" spans="1:9" ht="39.6" x14ac:dyDescent="0.4">
      <c r="A9" s="8" t="s">
        <v>44</v>
      </c>
      <c r="B9" s="8" t="s">
        <v>289</v>
      </c>
      <c r="C9" s="8" t="s">
        <v>290</v>
      </c>
      <c r="D9" s="8" t="s">
        <v>291</v>
      </c>
      <c r="E9" s="8" t="s">
        <v>292</v>
      </c>
      <c r="F9" s="8" t="s">
        <v>266</v>
      </c>
      <c r="G9" s="8" t="s">
        <v>293</v>
      </c>
      <c r="H9" s="8" t="s">
        <v>294</v>
      </c>
      <c r="I9" s="8" t="s">
        <v>295</v>
      </c>
    </row>
    <row r="10" spans="1:9" ht="39.6" x14ac:dyDescent="0.4">
      <c r="A10" s="8" t="s">
        <v>44</v>
      </c>
      <c r="B10" s="8" t="s">
        <v>262</v>
      </c>
      <c r="C10" s="8" t="s">
        <v>296</v>
      </c>
      <c r="D10" s="8" t="s">
        <v>297</v>
      </c>
      <c r="E10" s="8" t="s">
        <v>298</v>
      </c>
      <c r="F10" s="8" t="s">
        <v>266</v>
      </c>
      <c r="G10" s="8" t="s">
        <v>267</v>
      </c>
      <c r="H10" s="8" t="s">
        <v>287</v>
      </c>
      <c r="I10" s="8" t="s">
        <v>299</v>
      </c>
    </row>
    <row r="11" spans="1:9" ht="39.6" x14ac:dyDescent="0.4">
      <c r="A11" s="8" t="s">
        <v>44</v>
      </c>
      <c r="B11" s="8" t="s">
        <v>300</v>
      </c>
      <c r="C11" s="8" t="s">
        <v>301</v>
      </c>
      <c r="D11" s="8" t="s">
        <v>302</v>
      </c>
      <c r="E11" s="8" t="s">
        <v>303</v>
      </c>
      <c r="F11" s="8" t="s">
        <v>266</v>
      </c>
      <c r="G11" s="8" t="s">
        <v>304</v>
      </c>
      <c r="H11" s="8" t="s">
        <v>305</v>
      </c>
      <c r="I11" s="8" t="s">
        <v>306</v>
      </c>
    </row>
    <row r="12" spans="1:9" ht="39.6" x14ac:dyDescent="0.4">
      <c r="A12" s="8" t="s">
        <v>44</v>
      </c>
      <c r="B12" s="8" t="s">
        <v>300</v>
      </c>
      <c r="C12" s="8" t="s">
        <v>307</v>
      </c>
      <c r="D12" s="8" t="s">
        <v>308</v>
      </c>
      <c r="E12" s="8" t="s">
        <v>309</v>
      </c>
      <c r="F12" s="8" t="s">
        <v>266</v>
      </c>
      <c r="G12" s="8" t="s">
        <v>310</v>
      </c>
      <c r="H12" s="8" t="s">
        <v>311</v>
      </c>
      <c r="I12" s="8" t="s">
        <v>312</v>
      </c>
    </row>
    <row r="13" spans="1:9" ht="39.6" x14ac:dyDescent="0.4">
      <c r="A13" s="8" t="s">
        <v>44</v>
      </c>
      <c r="B13" s="8" t="s">
        <v>313</v>
      </c>
      <c r="C13" s="8" t="s">
        <v>314</v>
      </c>
      <c r="D13" s="8" t="s">
        <v>315</v>
      </c>
      <c r="E13" s="8" t="s">
        <v>316</v>
      </c>
      <c r="F13" s="8" t="s">
        <v>266</v>
      </c>
      <c r="G13" s="8" t="s">
        <v>317</v>
      </c>
      <c r="H13" s="8" t="s">
        <v>287</v>
      </c>
      <c r="I13" s="8" t="s">
        <v>318</v>
      </c>
    </row>
    <row r="14" spans="1:9" ht="39.6" x14ac:dyDescent="0.4">
      <c r="A14" s="8" t="s">
        <v>44</v>
      </c>
      <c r="B14" s="8" t="s">
        <v>319</v>
      </c>
      <c r="C14" s="8" t="s">
        <v>320</v>
      </c>
      <c r="D14" s="8" t="s">
        <v>321</v>
      </c>
      <c r="E14" s="8"/>
      <c r="F14" s="8" t="s">
        <v>266</v>
      </c>
      <c r="G14" s="8" t="s">
        <v>322</v>
      </c>
      <c r="H14" s="8" t="s">
        <v>323</v>
      </c>
      <c r="I14" s="8" t="s">
        <v>324</v>
      </c>
    </row>
    <row r="15" spans="1:9" ht="39.6" x14ac:dyDescent="0.4">
      <c r="A15" s="8" t="s">
        <v>44</v>
      </c>
      <c r="B15" s="8" t="s">
        <v>300</v>
      </c>
      <c r="C15" s="8" t="s">
        <v>325</v>
      </c>
      <c r="D15" s="8" t="s">
        <v>326</v>
      </c>
      <c r="E15" s="8"/>
      <c r="F15" s="8" t="s">
        <v>327</v>
      </c>
      <c r="G15" s="8" t="s">
        <v>328</v>
      </c>
      <c r="H15" s="8" t="s">
        <v>329</v>
      </c>
      <c r="I15" s="8" t="s">
        <v>330</v>
      </c>
    </row>
    <row r="16" spans="1:9" ht="39.6" x14ac:dyDescent="0.4">
      <c r="A16" s="8" t="s">
        <v>44</v>
      </c>
      <c r="B16" s="8" t="s">
        <v>331</v>
      </c>
      <c r="C16" s="8" t="s">
        <v>332</v>
      </c>
      <c r="D16" s="8" t="s">
        <v>333</v>
      </c>
      <c r="E16" s="8"/>
      <c r="F16" s="8" t="s">
        <v>266</v>
      </c>
      <c r="G16" s="8" t="s">
        <v>334</v>
      </c>
      <c r="H16" s="8" t="s">
        <v>305</v>
      </c>
      <c r="I16" s="8" t="s">
        <v>335</v>
      </c>
    </row>
    <row r="17" spans="1:9" ht="52.8" x14ac:dyDescent="0.4">
      <c r="A17" s="8" t="s">
        <v>44</v>
      </c>
      <c r="B17" s="8" t="s">
        <v>262</v>
      </c>
      <c r="C17" s="8" t="s">
        <v>336</v>
      </c>
      <c r="D17" s="8" t="s">
        <v>337</v>
      </c>
      <c r="E17" s="8" t="s">
        <v>338</v>
      </c>
      <c r="F17" s="8" t="s">
        <v>339</v>
      </c>
      <c r="G17" s="8" t="s">
        <v>267</v>
      </c>
      <c r="H17" s="8" t="s">
        <v>268</v>
      </c>
      <c r="I17" s="8" t="s">
        <v>340</v>
      </c>
    </row>
    <row r="18" spans="1:9" ht="158.4" x14ac:dyDescent="0.4">
      <c r="A18" s="8" t="s">
        <v>44</v>
      </c>
      <c r="B18" s="8" t="s">
        <v>262</v>
      </c>
      <c r="C18" s="8" t="s">
        <v>341</v>
      </c>
      <c r="D18" s="8" t="s">
        <v>342</v>
      </c>
      <c r="E18" s="8" t="s">
        <v>343</v>
      </c>
      <c r="F18" s="8" t="s">
        <v>344</v>
      </c>
      <c r="G18" s="8" t="s">
        <v>345</v>
      </c>
      <c r="H18" s="8" t="s">
        <v>346</v>
      </c>
      <c r="I18" s="8" t="s">
        <v>347</v>
      </c>
    </row>
    <row r="19" spans="1:9" ht="52.8" x14ac:dyDescent="0.4">
      <c r="A19" s="8" t="s">
        <v>44</v>
      </c>
      <c r="B19" s="8" t="s">
        <v>348</v>
      </c>
      <c r="C19" s="8" t="s">
        <v>349</v>
      </c>
      <c r="D19" s="8" t="s">
        <v>350</v>
      </c>
      <c r="E19" s="8" t="s">
        <v>351</v>
      </c>
      <c r="F19" s="8" t="s">
        <v>266</v>
      </c>
      <c r="G19" s="8" t="s">
        <v>352</v>
      </c>
      <c r="H19" s="8" t="s">
        <v>353</v>
      </c>
      <c r="I19" s="8" t="s">
        <v>354</v>
      </c>
    </row>
    <row r="20" spans="1:9" ht="39.6" x14ac:dyDescent="0.4">
      <c r="A20" s="8" t="s">
        <v>44</v>
      </c>
      <c r="B20" s="8" t="s">
        <v>276</v>
      </c>
      <c r="C20" s="8" t="s">
        <v>355</v>
      </c>
      <c r="D20" s="8" t="s">
        <v>356</v>
      </c>
      <c r="E20" s="8" t="s">
        <v>343</v>
      </c>
      <c r="F20" s="8" t="s">
        <v>266</v>
      </c>
      <c r="G20" s="8" t="s">
        <v>357</v>
      </c>
      <c r="H20" s="8" t="s">
        <v>358</v>
      </c>
      <c r="I20" s="8" t="s">
        <v>359</v>
      </c>
    </row>
    <row r="21" spans="1:9" ht="39.6" x14ac:dyDescent="0.4">
      <c r="A21" s="8" t="s">
        <v>44</v>
      </c>
      <c r="B21" s="8" t="s">
        <v>282</v>
      </c>
      <c r="C21" s="8" t="s">
        <v>360</v>
      </c>
      <c r="D21" s="8" t="s">
        <v>361</v>
      </c>
      <c r="E21" s="8"/>
      <c r="F21" s="8" t="s">
        <v>266</v>
      </c>
      <c r="G21" s="8" t="s">
        <v>286</v>
      </c>
      <c r="H21" s="8" t="s">
        <v>287</v>
      </c>
      <c r="I21" s="8" t="s">
        <v>362</v>
      </c>
    </row>
    <row r="22" spans="1:9" ht="39.6" x14ac:dyDescent="0.4">
      <c r="A22" s="8" t="s">
        <v>44</v>
      </c>
      <c r="B22" s="8" t="s">
        <v>262</v>
      </c>
      <c r="C22" s="8" t="s">
        <v>363</v>
      </c>
      <c r="D22" s="8" t="s">
        <v>364</v>
      </c>
      <c r="E22" s="8" t="s">
        <v>365</v>
      </c>
      <c r="F22" s="8" t="s">
        <v>266</v>
      </c>
      <c r="G22" s="8" t="s">
        <v>267</v>
      </c>
      <c r="H22" s="8" t="s">
        <v>287</v>
      </c>
      <c r="I22" s="8" t="s">
        <v>366</v>
      </c>
    </row>
    <row r="23" spans="1:9" ht="39.6" x14ac:dyDescent="0.4">
      <c r="A23" s="8" t="s">
        <v>44</v>
      </c>
      <c r="B23" s="8" t="s">
        <v>300</v>
      </c>
      <c r="C23" s="8" t="s">
        <v>367</v>
      </c>
      <c r="D23" s="8" t="s">
        <v>368</v>
      </c>
      <c r="E23" s="8"/>
      <c r="F23" s="8" t="s">
        <v>266</v>
      </c>
      <c r="G23" s="8" t="s">
        <v>369</v>
      </c>
      <c r="H23" s="8" t="s">
        <v>370</v>
      </c>
      <c r="I23" s="8" t="s">
        <v>371</v>
      </c>
    </row>
    <row r="24" spans="1:9" ht="39.6" x14ac:dyDescent="0.4">
      <c r="A24" s="8" t="s">
        <v>44</v>
      </c>
      <c r="B24" s="8" t="s">
        <v>372</v>
      </c>
      <c r="C24" s="8" t="s">
        <v>373</v>
      </c>
      <c r="D24" s="8" t="s">
        <v>374</v>
      </c>
      <c r="E24" s="8" t="s">
        <v>375</v>
      </c>
      <c r="F24" s="8" t="s">
        <v>376</v>
      </c>
      <c r="G24" s="8" t="s">
        <v>369</v>
      </c>
      <c r="H24" s="8" t="s">
        <v>294</v>
      </c>
      <c r="I24" s="8" t="s">
        <v>377</v>
      </c>
    </row>
    <row r="25" spans="1:9" ht="39.6" x14ac:dyDescent="0.4">
      <c r="A25" s="8" t="s">
        <v>44</v>
      </c>
      <c r="B25" s="8" t="s">
        <v>276</v>
      </c>
      <c r="C25" s="8" t="s">
        <v>378</v>
      </c>
      <c r="D25" s="8" t="s">
        <v>379</v>
      </c>
      <c r="E25" s="8"/>
      <c r="F25" s="8" t="s">
        <v>380</v>
      </c>
      <c r="G25" s="8" t="s">
        <v>381</v>
      </c>
      <c r="H25" s="8" t="s">
        <v>358</v>
      </c>
      <c r="I25" s="8" t="s">
        <v>382</v>
      </c>
    </row>
    <row r="26" spans="1:9" ht="39.6" x14ac:dyDescent="0.4">
      <c r="A26" s="8" t="s">
        <v>44</v>
      </c>
      <c r="B26" s="8" t="s">
        <v>372</v>
      </c>
      <c r="C26" s="8" t="s">
        <v>383</v>
      </c>
      <c r="D26" s="8" t="s">
        <v>384</v>
      </c>
      <c r="E26" s="8"/>
      <c r="F26" s="8" t="s">
        <v>266</v>
      </c>
      <c r="G26" s="8" t="s">
        <v>369</v>
      </c>
      <c r="H26" s="8" t="s">
        <v>294</v>
      </c>
      <c r="I26" s="8" t="s">
        <v>385</v>
      </c>
    </row>
    <row r="27" spans="1:9" ht="52.8" x14ac:dyDescent="0.4">
      <c r="A27" s="8" t="s">
        <v>44</v>
      </c>
      <c r="B27" s="8" t="s">
        <v>386</v>
      </c>
      <c r="C27" s="8" t="s">
        <v>387</v>
      </c>
      <c r="D27" s="8" t="s">
        <v>388</v>
      </c>
      <c r="E27" s="8"/>
      <c r="F27" s="8"/>
      <c r="G27" s="8" t="s">
        <v>389</v>
      </c>
      <c r="H27" s="8" t="s">
        <v>287</v>
      </c>
      <c r="I27" s="8" t="s">
        <v>390</v>
      </c>
    </row>
    <row r="28" spans="1:9" ht="39.6" x14ac:dyDescent="0.4">
      <c r="A28" s="8" t="s">
        <v>44</v>
      </c>
      <c r="B28" s="8" t="s">
        <v>386</v>
      </c>
      <c r="C28" s="8" t="s">
        <v>391</v>
      </c>
      <c r="D28" s="8" t="s">
        <v>392</v>
      </c>
      <c r="E28" s="8" t="s">
        <v>393</v>
      </c>
      <c r="F28" s="8"/>
      <c r="G28" s="8" t="s">
        <v>394</v>
      </c>
      <c r="H28" s="8" t="s">
        <v>395</v>
      </c>
      <c r="I28" s="8" t="s">
        <v>396</v>
      </c>
    </row>
    <row r="29" spans="1:9" ht="39.6" x14ac:dyDescent="0.4">
      <c r="A29" s="8" t="s">
        <v>44</v>
      </c>
      <c r="B29" s="8" t="s">
        <v>313</v>
      </c>
      <c r="C29" s="8" t="s">
        <v>397</v>
      </c>
      <c r="D29" s="8" t="s">
        <v>398</v>
      </c>
      <c r="E29" s="8"/>
      <c r="F29" s="8" t="s">
        <v>266</v>
      </c>
      <c r="G29" s="8" t="s">
        <v>317</v>
      </c>
      <c r="H29" s="8" t="s">
        <v>287</v>
      </c>
      <c r="I29" s="8" t="s">
        <v>399</v>
      </c>
    </row>
    <row r="30" spans="1:9" ht="39.6" x14ac:dyDescent="0.4">
      <c r="A30" s="8" t="s">
        <v>44</v>
      </c>
      <c r="B30" s="8" t="s">
        <v>300</v>
      </c>
      <c r="C30" s="8" t="s">
        <v>400</v>
      </c>
      <c r="D30" s="8" t="s">
        <v>401</v>
      </c>
      <c r="E30" s="8" t="s">
        <v>365</v>
      </c>
      <c r="F30" s="8" t="s">
        <v>402</v>
      </c>
      <c r="G30" s="8" t="s">
        <v>403</v>
      </c>
      <c r="H30" s="8" t="s">
        <v>329</v>
      </c>
      <c r="I30" s="8" t="s">
        <v>404</v>
      </c>
    </row>
    <row r="31" spans="1:9" ht="39.6" x14ac:dyDescent="0.4">
      <c r="A31" s="8" t="s">
        <v>44</v>
      </c>
      <c r="B31" s="8" t="s">
        <v>386</v>
      </c>
      <c r="C31" s="8" t="s">
        <v>405</v>
      </c>
      <c r="D31" s="8" t="s">
        <v>406</v>
      </c>
      <c r="E31" s="8" t="s">
        <v>407</v>
      </c>
      <c r="F31" s="8" t="s">
        <v>266</v>
      </c>
      <c r="G31" s="8" t="s">
        <v>389</v>
      </c>
      <c r="H31" s="8" t="s">
        <v>287</v>
      </c>
      <c r="I31" s="8" t="s">
        <v>408</v>
      </c>
    </row>
    <row r="32" spans="1:9" ht="39.6" x14ac:dyDescent="0.4">
      <c r="A32" s="8" t="s">
        <v>44</v>
      </c>
      <c r="B32" s="8" t="s">
        <v>276</v>
      </c>
      <c r="C32" s="8" t="s">
        <v>409</v>
      </c>
      <c r="D32" s="8" t="s">
        <v>410</v>
      </c>
      <c r="E32" s="8" t="s">
        <v>411</v>
      </c>
      <c r="F32" s="8" t="s">
        <v>266</v>
      </c>
      <c r="G32" s="8" t="s">
        <v>357</v>
      </c>
      <c r="H32" s="8" t="s">
        <v>412</v>
      </c>
      <c r="I32" s="8" t="s">
        <v>413</v>
      </c>
    </row>
    <row r="33" spans="1:9" ht="39.6" x14ac:dyDescent="0.4">
      <c r="A33" s="8" t="s">
        <v>44</v>
      </c>
      <c r="B33" s="8" t="s">
        <v>319</v>
      </c>
      <c r="C33" s="8" t="s">
        <v>414</v>
      </c>
      <c r="D33" s="8" t="s">
        <v>415</v>
      </c>
      <c r="E33" s="8"/>
      <c r="F33" s="8" t="s">
        <v>266</v>
      </c>
      <c r="G33" s="8" t="s">
        <v>416</v>
      </c>
      <c r="H33" s="8" t="s">
        <v>329</v>
      </c>
      <c r="I33" s="8" t="s">
        <v>417</v>
      </c>
    </row>
    <row r="34" spans="1:9" ht="171.6" x14ac:dyDescent="0.4">
      <c r="A34" s="8" t="s">
        <v>44</v>
      </c>
      <c r="B34" s="8" t="s">
        <v>418</v>
      </c>
      <c r="C34" s="8" t="s">
        <v>419</v>
      </c>
      <c r="D34" s="8" t="s">
        <v>420</v>
      </c>
      <c r="E34" s="8"/>
      <c r="F34" s="8" t="s">
        <v>266</v>
      </c>
      <c r="G34" s="8" t="s">
        <v>421</v>
      </c>
      <c r="H34" s="8" t="s">
        <v>323</v>
      </c>
      <c r="I34" s="8" t="s">
        <v>422</v>
      </c>
    </row>
    <row r="35" spans="1:9" ht="66" x14ac:dyDescent="0.4">
      <c r="A35" s="8" t="s">
        <v>44</v>
      </c>
      <c r="B35" s="8" t="s">
        <v>282</v>
      </c>
      <c r="C35" s="8" t="s">
        <v>423</v>
      </c>
      <c r="D35" s="8" t="s">
        <v>424</v>
      </c>
      <c r="E35" s="8"/>
      <c r="F35" s="8"/>
      <c r="G35" s="8" t="s">
        <v>286</v>
      </c>
      <c r="H35" s="8" t="s">
        <v>287</v>
      </c>
      <c r="I35" s="8" t="s">
        <v>425</v>
      </c>
    </row>
    <row r="36" spans="1:9" ht="39.6" x14ac:dyDescent="0.4">
      <c r="A36" s="8" t="s">
        <v>44</v>
      </c>
      <c r="B36" s="8" t="s">
        <v>289</v>
      </c>
      <c r="C36" s="8" t="s">
        <v>426</v>
      </c>
      <c r="D36" s="8" t="s">
        <v>427</v>
      </c>
      <c r="E36" s="8" t="s">
        <v>428</v>
      </c>
      <c r="F36" s="8" t="s">
        <v>266</v>
      </c>
      <c r="G36" s="8" t="s">
        <v>293</v>
      </c>
      <c r="H36" s="8" t="s">
        <v>294</v>
      </c>
      <c r="I36" s="8" t="s">
        <v>429</v>
      </c>
    </row>
    <row r="37" spans="1:9" ht="39.6" x14ac:dyDescent="0.4">
      <c r="A37" s="8" t="s">
        <v>44</v>
      </c>
      <c r="B37" s="8" t="s">
        <v>430</v>
      </c>
      <c r="C37" s="8" t="s">
        <v>431</v>
      </c>
      <c r="D37" s="8" t="s">
        <v>432</v>
      </c>
      <c r="E37" s="8"/>
      <c r="F37" s="8" t="s">
        <v>266</v>
      </c>
      <c r="G37" s="8" t="s">
        <v>433</v>
      </c>
      <c r="H37" s="8" t="s">
        <v>370</v>
      </c>
      <c r="I37" s="8" t="s">
        <v>434</v>
      </c>
    </row>
    <row r="38" spans="1:9" ht="39.6" x14ac:dyDescent="0.4">
      <c r="A38" s="8" t="s">
        <v>44</v>
      </c>
      <c r="B38" s="8" t="s">
        <v>262</v>
      </c>
      <c r="C38" s="8" t="s">
        <v>435</v>
      </c>
      <c r="D38" s="8" t="s">
        <v>436</v>
      </c>
      <c r="E38" s="8"/>
      <c r="F38" s="8" t="s">
        <v>437</v>
      </c>
      <c r="G38" s="8" t="s">
        <v>267</v>
      </c>
      <c r="H38" s="8" t="s">
        <v>287</v>
      </c>
      <c r="I38" s="8" t="s">
        <v>438</v>
      </c>
    </row>
    <row r="39" spans="1:9" ht="52.8" x14ac:dyDescent="0.4">
      <c r="A39" s="8" t="s">
        <v>44</v>
      </c>
      <c r="B39" s="8" t="s">
        <v>331</v>
      </c>
      <c r="C39" s="8" t="s">
        <v>439</v>
      </c>
      <c r="D39" s="8" t="s">
        <v>440</v>
      </c>
      <c r="E39" s="8"/>
      <c r="F39" s="8" t="s">
        <v>376</v>
      </c>
      <c r="G39" s="8" t="s">
        <v>334</v>
      </c>
      <c r="H39" s="8" t="s">
        <v>305</v>
      </c>
      <c r="I39" s="8" t="s">
        <v>441</v>
      </c>
    </row>
    <row r="40" spans="1:9" ht="39.6" x14ac:dyDescent="0.4">
      <c r="A40" s="8" t="s">
        <v>44</v>
      </c>
      <c r="B40" s="8" t="s">
        <v>442</v>
      </c>
      <c r="C40" s="8" t="s">
        <v>443</v>
      </c>
      <c r="D40" s="8" t="s">
        <v>444</v>
      </c>
      <c r="E40" s="8" t="s">
        <v>445</v>
      </c>
      <c r="F40" s="8"/>
      <c r="G40" s="8" t="s">
        <v>446</v>
      </c>
      <c r="H40" s="8" t="s">
        <v>358</v>
      </c>
      <c r="I40" s="8" t="s">
        <v>447</v>
      </c>
    </row>
    <row r="41" spans="1:9" ht="66" x14ac:dyDescent="0.4">
      <c r="A41" s="8" t="s">
        <v>44</v>
      </c>
      <c r="B41" s="8" t="s">
        <v>331</v>
      </c>
      <c r="C41" s="8" t="s">
        <v>448</v>
      </c>
      <c r="D41" s="8" t="s">
        <v>449</v>
      </c>
      <c r="E41" s="8" t="s">
        <v>450</v>
      </c>
      <c r="F41" s="8"/>
      <c r="G41" s="8" t="s">
        <v>334</v>
      </c>
      <c r="H41" s="8" t="s">
        <v>305</v>
      </c>
      <c r="I41" s="8" t="s">
        <v>451</v>
      </c>
    </row>
    <row r="42" spans="1:9" ht="39.6" x14ac:dyDescent="0.4">
      <c r="A42" s="8" t="s">
        <v>44</v>
      </c>
      <c r="B42" s="8" t="s">
        <v>452</v>
      </c>
      <c r="C42" s="8" t="s">
        <v>453</v>
      </c>
      <c r="D42" s="8" t="s">
        <v>454</v>
      </c>
      <c r="E42" s="8"/>
      <c r="F42" s="8"/>
      <c r="G42" s="8" t="s">
        <v>455</v>
      </c>
      <c r="H42" s="8" t="s">
        <v>287</v>
      </c>
      <c r="I42" s="8" t="s">
        <v>456</v>
      </c>
    </row>
    <row r="43" spans="1:9" ht="39.6" x14ac:dyDescent="0.4">
      <c r="A43" s="8" t="s">
        <v>44</v>
      </c>
      <c r="B43" s="8" t="s">
        <v>313</v>
      </c>
      <c r="C43" s="8" t="s">
        <v>457</v>
      </c>
      <c r="D43" s="8" t="s">
        <v>458</v>
      </c>
      <c r="E43" s="8"/>
      <c r="F43" s="8"/>
      <c r="G43" s="8" t="s">
        <v>317</v>
      </c>
      <c r="H43" s="8" t="s">
        <v>287</v>
      </c>
      <c r="I43" s="8" t="s">
        <v>459</v>
      </c>
    </row>
    <row r="44" spans="1:9" ht="39.6" x14ac:dyDescent="0.4">
      <c r="A44" s="8" t="s">
        <v>44</v>
      </c>
      <c r="B44" s="8" t="s">
        <v>460</v>
      </c>
      <c r="C44" s="8" t="s">
        <v>461</v>
      </c>
      <c r="D44" s="8" t="s">
        <v>462</v>
      </c>
      <c r="E44" s="8"/>
      <c r="F44" s="8"/>
      <c r="G44" s="8" t="s">
        <v>463</v>
      </c>
      <c r="H44" s="8" t="s">
        <v>464</v>
      </c>
      <c r="I44" s="8" t="s">
        <v>465</v>
      </c>
    </row>
    <row r="45" spans="1:9" ht="39.6" x14ac:dyDescent="0.4">
      <c r="A45" s="8" t="s">
        <v>44</v>
      </c>
      <c r="B45" s="8" t="s">
        <v>348</v>
      </c>
      <c r="C45" s="8" t="s">
        <v>466</v>
      </c>
      <c r="D45" s="8" t="s">
        <v>467</v>
      </c>
      <c r="E45" s="8"/>
      <c r="F45" s="8"/>
      <c r="G45" s="8" t="s">
        <v>352</v>
      </c>
      <c r="H45" s="8" t="s">
        <v>468</v>
      </c>
      <c r="I45" s="8" t="s">
        <v>469</v>
      </c>
    </row>
    <row r="46" spans="1:9" ht="39.6" x14ac:dyDescent="0.4">
      <c r="A46" s="8" t="s">
        <v>44</v>
      </c>
      <c r="B46" s="8" t="s">
        <v>372</v>
      </c>
      <c r="C46" s="8" t="s">
        <v>470</v>
      </c>
      <c r="D46" s="8" t="s">
        <v>471</v>
      </c>
      <c r="E46" s="8"/>
      <c r="F46" s="8"/>
      <c r="G46" s="8" t="s">
        <v>369</v>
      </c>
      <c r="H46" s="8" t="s">
        <v>294</v>
      </c>
      <c r="I46" s="8" t="s">
        <v>472</v>
      </c>
    </row>
    <row r="47" spans="1:9" ht="39.6" x14ac:dyDescent="0.4">
      <c r="A47" s="8" t="s">
        <v>44</v>
      </c>
      <c r="B47" s="8" t="s">
        <v>372</v>
      </c>
      <c r="C47" s="8" t="s">
        <v>473</v>
      </c>
      <c r="D47" s="8" t="s">
        <v>474</v>
      </c>
      <c r="E47" s="8" t="s">
        <v>365</v>
      </c>
      <c r="F47" s="8" t="s">
        <v>266</v>
      </c>
      <c r="G47" s="8" t="s">
        <v>369</v>
      </c>
      <c r="H47" s="8" t="s">
        <v>294</v>
      </c>
      <c r="I47" s="8" t="s">
        <v>475</v>
      </c>
    </row>
    <row r="48" spans="1:9" ht="39.6" x14ac:dyDescent="0.4">
      <c r="A48" s="8" t="s">
        <v>127</v>
      </c>
      <c r="B48" s="8" t="s">
        <v>476</v>
      </c>
      <c r="C48" s="8" t="s">
        <v>477</v>
      </c>
      <c r="D48" s="8" t="s">
        <v>478</v>
      </c>
      <c r="E48" s="8" t="s">
        <v>479</v>
      </c>
      <c r="F48" s="8" t="s">
        <v>266</v>
      </c>
      <c r="G48" s="8" t="s">
        <v>480</v>
      </c>
      <c r="H48" s="8" t="s">
        <v>274</v>
      </c>
      <c r="I48" s="8" t="s">
        <v>481</v>
      </c>
    </row>
    <row r="49" spans="1:9" ht="39.6" x14ac:dyDescent="0.4">
      <c r="A49" s="8" t="s">
        <v>127</v>
      </c>
      <c r="B49" s="8" t="s">
        <v>300</v>
      </c>
      <c r="C49" s="8" t="s">
        <v>482</v>
      </c>
      <c r="D49" s="8" t="s">
        <v>483</v>
      </c>
      <c r="E49" s="8" t="s">
        <v>484</v>
      </c>
      <c r="F49" s="8" t="s">
        <v>485</v>
      </c>
      <c r="G49" s="8" t="s">
        <v>486</v>
      </c>
      <c r="H49" s="8" t="s">
        <v>487</v>
      </c>
      <c r="I49" s="8" t="s">
        <v>488</v>
      </c>
    </row>
    <row r="50" spans="1:9" ht="39.6" x14ac:dyDescent="0.4">
      <c r="A50" s="8" t="s">
        <v>127</v>
      </c>
      <c r="B50" s="8" t="s">
        <v>489</v>
      </c>
      <c r="C50" s="8" t="s">
        <v>490</v>
      </c>
      <c r="D50" s="8" t="s">
        <v>491</v>
      </c>
      <c r="E50" s="8"/>
      <c r="F50" s="8" t="s">
        <v>492</v>
      </c>
      <c r="G50" s="8" t="s">
        <v>493</v>
      </c>
      <c r="H50" s="8" t="s">
        <v>494</v>
      </c>
      <c r="I50" s="8" t="s">
        <v>495</v>
      </c>
    </row>
    <row r="51" spans="1:9" ht="39.6" x14ac:dyDescent="0.4">
      <c r="A51" s="8" t="s">
        <v>127</v>
      </c>
      <c r="B51" s="8" t="s">
        <v>300</v>
      </c>
      <c r="C51" s="8" t="s">
        <v>496</v>
      </c>
      <c r="D51" s="8" t="s">
        <v>497</v>
      </c>
      <c r="E51" s="8"/>
      <c r="F51" s="8" t="s">
        <v>266</v>
      </c>
      <c r="G51" s="8" t="s">
        <v>498</v>
      </c>
      <c r="H51" s="8" t="s">
        <v>487</v>
      </c>
      <c r="I51" s="8" t="s">
        <v>499</v>
      </c>
    </row>
    <row r="52" spans="1:9" ht="39.6" x14ac:dyDescent="0.4">
      <c r="A52" s="8" t="s">
        <v>127</v>
      </c>
      <c r="B52" s="8" t="s">
        <v>500</v>
      </c>
      <c r="C52" s="8" t="s">
        <v>501</v>
      </c>
      <c r="D52" s="8" t="s">
        <v>502</v>
      </c>
      <c r="E52" s="8" t="s">
        <v>503</v>
      </c>
      <c r="F52" s="8"/>
      <c r="G52" s="8" t="s">
        <v>504</v>
      </c>
      <c r="H52" s="8" t="s">
        <v>505</v>
      </c>
      <c r="I52" s="8" t="s">
        <v>506</v>
      </c>
    </row>
    <row r="53" spans="1:9" ht="39.6" x14ac:dyDescent="0.4">
      <c r="A53" s="8" t="s">
        <v>127</v>
      </c>
      <c r="B53" s="8" t="s">
        <v>507</v>
      </c>
      <c r="C53" s="8" t="s">
        <v>508</v>
      </c>
      <c r="D53" s="8" t="s">
        <v>509</v>
      </c>
      <c r="E53" s="8" t="s">
        <v>510</v>
      </c>
      <c r="F53" s="8" t="s">
        <v>266</v>
      </c>
      <c r="G53" s="8" t="s">
        <v>511</v>
      </c>
      <c r="H53" s="8" t="s">
        <v>512</v>
      </c>
      <c r="I53" s="8" t="s">
        <v>513</v>
      </c>
    </row>
    <row r="54" spans="1:9" ht="39.6" x14ac:dyDescent="0.4">
      <c r="A54" s="8" t="s">
        <v>127</v>
      </c>
      <c r="B54" s="8" t="s">
        <v>500</v>
      </c>
      <c r="C54" s="8" t="s">
        <v>514</v>
      </c>
      <c r="D54" s="8" t="s">
        <v>515</v>
      </c>
      <c r="E54" s="8" t="s">
        <v>516</v>
      </c>
      <c r="F54" s="8" t="s">
        <v>266</v>
      </c>
      <c r="G54" s="8" t="s">
        <v>517</v>
      </c>
      <c r="H54" s="8" t="s">
        <v>518</v>
      </c>
      <c r="I54" s="8" t="s">
        <v>519</v>
      </c>
    </row>
    <row r="55" spans="1:9" ht="39.6" x14ac:dyDescent="0.4">
      <c r="A55" s="8" t="s">
        <v>127</v>
      </c>
      <c r="B55" s="8" t="s">
        <v>489</v>
      </c>
      <c r="C55" s="8" t="s">
        <v>520</v>
      </c>
      <c r="D55" s="8" t="s">
        <v>521</v>
      </c>
      <c r="E55" s="8" t="s">
        <v>522</v>
      </c>
      <c r="F55" s="8" t="s">
        <v>266</v>
      </c>
      <c r="G55" s="8" t="s">
        <v>523</v>
      </c>
      <c r="H55" s="8" t="s">
        <v>323</v>
      </c>
      <c r="I55" s="8" t="s">
        <v>524</v>
      </c>
    </row>
    <row r="56" spans="1:9" ht="39.6" x14ac:dyDescent="0.4">
      <c r="A56" s="8" t="s">
        <v>127</v>
      </c>
      <c r="B56" s="8" t="s">
        <v>300</v>
      </c>
      <c r="C56" s="8" t="s">
        <v>525</v>
      </c>
      <c r="D56" s="8" t="s">
        <v>526</v>
      </c>
      <c r="E56" s="8" t="s">
        <v>527</v>
      </c>
      <c r="F56" s="8" t="s">
        <v>266</v>
      </c>
      <c r="G56" s="8" t="s">
        <v>498</v>
      </c>
      <c r="H56" s="8" t="s">
        <v>487</v>
      </c>
      <c r="I56" s="8" t="s">
        <v>528</v>
      </c>
    </row>
    <row r="57" spans="1:9" ht="39.6" x14ac:dyDescent="0.4">
      <c r="A57" s="8" t="s">
        <v>127</v>
      </c>
      <c r="B57" s="8" t="s">
        <v>489</v>
      </c>
      <c r="C57" s="8" t="s">
        <v>529</v>
      </c>
      <c r="D57" s="8" t="s">
        <v>530</v>
      </c>
      <c r="E57" s="8"/>
      <c r="F57" s="8" t="s">
        <v>266</v>
      </c>
      <c r="G57" s="8" t="s">
        <v>531</v>
      </c>
      <c r="H57" s="8" t="s">
        <v>512</v>
      </c>
      <c r="I57" s="8" t="s">
        <v>532</v>
      </c>
    </row>
    <row r="58" spans="1:9" ht="39.6" x14ac:dyDescent="0.4">
      <c r="A58" s="8" t="s">
        <v>127</v>
      </c>
      <c r="B58" s="8" t="s">
        <v>533</v>
      </c>
      <c r="C58" s="8" t="s">
        <v>534</v>
      </c>
      <c r="D58" s="8" t="s">
        <v>535</v>
      </c>
      <c r="E58" s="8" t="s">
        <v>536</v>
      </c>
      <c r="F58" s="8"/>
      <c r="G58" s="8" t="s">
        <v>537</v>
      </c>
      <c r="H58" s="8" t="s">
        <v>487</v>
      </c>
      <c r="I58" s="8" t="s">
        <v>538</v>
      </c>
    </row>
    <row r="59" spans="1:9" ht="39.6" x14ac:dyDescent="0.4">
      <c r="A59" s="8" t="s">
        <v>127</v>
      </c>
      <c r="B59" s="8" t="s">
        <v>507</v>
      </c>
      <c r="C59" s="8" t="s">
        <v>539</v>
      </c>
      <c r="D59" s="8" t="s">
        <v>540</v>
      </c>
      <c r="E59" s="8" t="s">
        <v>536</v>
      </c>
      <c r="F59" s="8" t="s">
        <v>266</v>
      </c>
      <c r="G59" s="8" t="s">
        <v>511</v>
      </c>
      <c r="H59" s="8" t="s">
        <v>487</v>
      </c>
      <c r="I59" s="8" t="s">
        <v>541</v>
      </c>
    </row>
    <row r="60" spans="1:9" ht="39.6" x14ac:dyDescent="0.4">
      <c r="A60" s="8" t="s">
        <v>127</v>
      </c>
      <c r="B60" s="8" t="s">
        <v>476</v>
      </c>
      <c r="C60" s="8" t="s">
        <v>542</v>
      </c>
      <c r="D60" s="8" t="s">
        <v>543</v>
      </c>
      <c r="E60" s="8"/>
      <c r="F60" s="8" t="s">
        <v>266</v>
      </c>
      <c r="G60" s="8" t="s">
        <v>480</v>
      </c>
      <c r="H60" s="8" t="s">
        <v>274</v>
      </c>
      <c r="I60" s="8" t="s">
        <v>544</v>
      </c>
    </row>
    <row r="61" spans="1:9" ht="39.6" x14ac:dyDescent="0.4">
      <c r="A61" s="8" t="s">
        <v>127</v>
      </c>
      <c r="B61" s="8" t="s">
        <v>489</v>
      </c>
      <c r="C61" s="8" t="s">
        <v>545</v>
      </c>
      <c r="D61" s="8" t="s">
        <v>546</v>
      </c>
      <c r="E61" s="8"/>
      <c r="F61" s="8" t="s">
        <v>547</v>
      </c>
      <c r="G61" s="8" t="s">
        <v>523</v>
      </c>
      <c r="H61" s="8" t="s">
        <v>323</v>
      </c>
      <c r="I61" s="8" t="s">
        <v>548</v>
      </c>
    </row>
    <row r="62" spans="1:9" ht="39.6" x14ac:dyDescent="0.4">
      <c r="A62" s="8" t="s">
        <v>127</v>
      </c>
      <c r="B62" s="8" t="s">
        <v>300</v>
      </c>
      <c r="C62" s="8" t="s">
        <v>549</v>
      </c>
      <c r="D62" s="8" t="s">
        <v>550</v>
      </c>
      <c r="E62" s="8" t="s">
        <v>292</v>
      </c>
      <c r="F62" s="8"/>
      <c r="G62" s="8" t="s">
        <v>551</v>
      </c>
      <c r="H62" s="8" t="s">
        <v>487</v>
      </c>
      <c r="I62" s="8" t="s">
        <v>552</v>
      </c>
    </row>
    <row r="63" spans="1:9" ht="39.6" x14ac:dyDescent="0.4">
      <c r="A63" s="8" t="s">
        <v>127</v>
      </c>
      <c r="B63" s="8" t="s">
        <v>553</v>
      </c>
      <c r="C63" s="8" t="s">
        <v>554</v>
      </c>
      <c r="D63" s="8" t="s">
        <v>555</v>
      </c>
      <c r="E63" s="8" t="s">
        <v>556</v>
      </c>
      <c r="F63" s="8"/>
      <c r="G63" s="8" t="s">
        <v>557</v>
      </c>
      <c r="H63" s="8" t="s">
        <v>558</v>
      </c>
      <c r="I63" s="8" t="s">
        <v>559</v>
      </c>
    </row>
    <row r="64" spans="1:9" ht="39.6" x14ac:dyDescent="0.4">
      <c r="A64" s="8" t="s">
        <v>127</v>
      </c>
      <c r="B64" s="8" t="s">
        <v>300</v>
      </c>
      <c r="C64" s="8" t="s">
        <v>560</v>
      </c>
      <c r="D64" s="8" t="s">
        <v>561</v>
      </c>
      <c r="E64" s="8"/>
      <c r="F64" s="8" t="s">
        <v>562</v>
      </c>
      <c r="G64" s="8" t="s">
        <v>498</v>
      </c>
      <c r="H64" s="8" t="s">
        <v>512</v>
      </c>
      <c r="I64" s="8" t="s">
        <v>563</v>
      </c>
    </row>
    <row r="65" spans="1:9" ht="39.6" x14ac:dyDescent="0.4">
      <c r="A65" s="8" t="s">
        <v>127</v>
      </c>
      <c r="B65" s="8" t="s">
        <v>533</v>
      </c>
      <c r="C65" s="8" t="s">
        <v>564</v>
      </c>
      <c r="D65" s="8" t="s">
        <v>565</v>
      </c>
      <c r="E65" s="8"/>
      <c r="F65" s="8" t="s">
        <v>266</v>
      </c>
      <c r="G65" s="8" t="s">
        <v>566</v>
      </c>
      <c r="H65" s="8" t="s">
        <v>346</v>
      </c>
      <c r="I65" s="8" t="s">
        <v>567</v>
      </c>
    </row>
    <row r="66" spans="1:9" ht="39.6" x14ac:dyDescent="0.4">
      <c r="A66" s="8" t="s">
        <v>127</v>
      </c>
      <c r="B66" s="8" t="s">
        <v>568</v>
      </c>
      <c r="C66" s="8" t="s">
        <v>569</v>
      </c>
      <c r="D66" s="8" t="s">
        <v>570</v>
      </c>
      <c r="E66" s="8" t="s">
        <v>571</v>
      </c>
      <c r="F66" s="8"/>
      <c r="G66" s="8" t="s">
        <v>572</v>
      </c>
      <c r="H66" s="8" t="s">
        <v>573</v>
      </c>
      <c r="I66" s="8" t="s">
        <v>574</v>
      </c>
    </row>
    <row r="67" spans="1:9" ht="39.6" x14ac:dyDescent="0.4">
      <c r="A67" s="8" t="s">
        <v>127</v>
      </c>
      <c r="B67" s="8" t="s">
        <v>489</v>
      </c>
      <c r="C67" s="8" t="s">
        <v>575</v>
      </c>
      <c r="D67" s="8" t="s">
        <v>576</v>
      </c>
      <c r="E67" s="8" t="s">
        <v>577</v>
      </c>
      <c r="F67" s="8"/>
      <c r="G67" s="8" t="s">
        <v>578</v>
      </c>
      <c r="H67" s="8" t="s">
        <v>287</v>
      </c>
      <c r="I67" s="8" t="s">
        <v>579</v>
      </c>
    </row>
    <row r="68" spans="1:9" ht="39.6" x14ac:dyDescent="0.4">
      <c r="A68" s="8" t="s">
        <v>127</v>
      </c>
      <c r="B68" s="8" t="s">
        <v>580</v>
      </c>
      <c r="C68" s="8" t="s">
        <v>581</v>
      </c>
      <c r="D68" s="8" t="s">
        <v>582</v>
      </c>
      <c r="E68" s="8" t="s">
        <v>510</v>
      </c>
      <c r="F68" s="8" t="s">
        <v>266</v>
      </c>
      <c r="G68" s="8" t="s">
        <v>583</v>
      </c>
      <c r="H68" s="8" t="s">
        <v>487</v>
      </c>
      <c r="I68" s="8" t="s">
        <v>584</v>
      </c>
    </row>
    <row r="69" spans="1:9" ht="39.6" x14ac:dyDescent="0.4">
      <c r="A69" s="8" t="s">
        <v>127</v>
      </c>
      <c r="B69" s="8" t="s">
        <v>580</v>
      </c>
      <c r="C69" s="8" t="s">
        <v>585</v>
      </c>
      <c r="D69" s="8" t="s">
        <v>586</v>
      </c>
      <c r="E69" s="8" t="s">
        <v>343</v>
      </c>
      <c r="F69" s="8"/>
      <c r="G69" s="8" t="s">
        <v>587</v>
      </c>
      <c r="H69" s="8" t="s">
        <v>346</v>
      </c>
      <c r="I69" s="8" t="s">
        <v>588</v>
      </c>
    </row>
    <row r="70" spans="1:9" ht="39.6" x14ac:dyDescent="0.4">
      <c r="A70" s="8" t="s">
        <v>127</v>
      </c>
      <c r="B70" s="8" t="s">
        <v>589</v>
      </c>
      <c r="C70" s="8" t="s">
        <v>590</v>
      </c>
      <c r="D70" s="8" t="s">
        <v>591</v>
      </c>
      <c r="E70" s="8" t="s">
        <v>592</v>
      </c>
      <c r="F70" s="8"/>
      <c r="G70" s="8" t="s">
        <v>593</v>
      </c>
      <c r="H70" s="8" t="s">
        <v>558</v>
      </c>
      <c r="I70" s="8" t="s">
        <v>594</v>
      </c>
    </row>
    <row r="71" spans="1:9" ht="39.6" x14ac:dyDescent="0.4">
      <c r="A71" s="8" t="s">
        <v>127</v>
      </c>
      <c r="B71" s="8" t="s">
        <v>595</v>
      </c>
      <c r="C71" s="8" t="s">
        <v>596</v>
      </c>
      <c r="D71" s="8" t="s">
        <v>597</v>
      </c>
      <c r="E71" s="8" t="s">
        <v>598</v>
      </c>
      <c r="F71" s="8"/>
      <c r="G71" s="8" t="s">
        <v>599</v>
      </c>
      <c r="H71" s="8" t="s">
        <v>512</v>
      </c>
      <c r="I71" s="8" t="s">
        <v>600</v>
      </c>
    </row>
    <row r="72" spans="1:9" ht="39.6" x14ac:dyDescent="0.4">
      <c r="A72" s="8" t="s">
        <v>127</v>
      </c>
      <c r="B72" s="8" t="s">
        <v>568</v>
      </c>
      <c r="C72" s="8" t="s">
        <v>601</v>
      </c>
      <c r="D72" s="8" t="s">
        <v>602</v>
      </c>
      <c r="E72" s="8" t="s">
        <v>285</v>
      </c>
      <c r="F72" s="8" t="s">
        <v>266</v>
      </c>
      <c r="G72" s="8" t="s">
        <v>603</v>
      </c>
      <c r="H72" s="8" t="s">
        <v>604</v>
      </c>
      <c r="I72" s="8" t="s">
        <v>605</v>
      </c>
    </row>
    <row r="73" spans="1:9" ht="39.6" x14ac:dyDescent="0.4">
      <c r="A73" s="8" t="s">
        <v>127</v>
      </c>
      <c r="B73" s="8" t="s">
        <v>500</v>
      </c>
      <c r="C73" s="8" t="s">
        <v>606</v>
      </c>
      <c r="D73" s="8" t="s">
        <v>607</v>
      </c>
      <c r="E73" s="8" t="s">
        <v>608</v>
      </c>
      <c r="F73" s="8"/>
      <c r="G73" s="8" t="s">
        <v>517</v>
      </c>
      <c r="H73" s="8" t="s">
        <v>512</v>
      </c>
      <c r="I73" s="8" t="s">
        <v>609</v>
      </c>
    </row>
    <row r="74" spans="1:9" ht="39.6" x14ac:dyDescent="0.4">
      <c r="A74" s="8" t="s">
        <v>127</v>
      </c>
      <c r="B74" s="8" t="s">
        <v>580</v>
      </c>
      <c r="C74" s="8" t="s">
        <v>610</v>
      </c>
      <c r="D74" s="8" t="s">
        <v>611</v>
      </c>
      <c r="E74" s="8" t="s">
        <v>445</v>
      </c>
      <c r="F74" s="8" t="s">
        <v>266</v>
      </c>
      <c r="G74" s="8" t="s">
        <v>583</v>
      </c>
      <c r="H74" s="8" t="s">
        <v>487</v>
      </c>
      <c r="I74" s="8" t="s">
        <v>612</v>
      </c>
    </row>
    <row r="75" spans="1:9" ht="39.6" x14ac:dyDescent="0.4">
      <c r="A75" s="8" t="s">
        <v>127</v>
      </c>
      <c r="B75" s="8" t="s">
        <v>500</v>
      </c>
      <c r="C75" s="8" t="s">
        <v>397</v>
      </c>
      <c r="D75" s="8" t="s">
        <v>613</v>
      </c>
      <c r="E75" s="8"/>
      <c r="F75" s="8" t="s">
        <v>376</v>
      </c>
      <c r="G75" s="8" t="s">
        <v>517</v>
      </c>
      <c r="H75" s="8" t="s">
        <v>512</v>
      </c>
      <c r="I75" s="8" t="s">
        <v>614</v>
      </c>
    </row>
    <row r="76" spans="1:9" ht="39.6" x14ac:dyDescent="0.4">
      <c r="A76" s="8" t="s">
        <v>127</v>
      </c>
      <c r="B76" s="8" t="s">
        <v>615</v>
      </c>
      <c r="C76" s="8" t="s">
        <v>616</v>
      </c>
      <c r="D76" s="8" t="s">
        <v>616</v>
      </c>
      <c r="E76" s="8" t="s">
        <v>617</v>
      </c>
      <c r="F76" s="8"/>
      <c r="G76" s="8" t="s">
        <v>618</v>
      </c>
      <c r="H76" s="8" t="s">
        <v>512</v>
      </c>
      <c r="I76" s="8" t="s">
        <v>619</v>
      </c>
    </row>
    <row r="77" spans="1:9" ht="39.6" x14ac:dyDescent="0.4">
      <c r="A77" s="8" t="s">
        <v>127</v>
      </c>
      <c r="B77" s="8" t="s">
        <v>620</v>
      </c>
      <c r="C77" s="8" t="s">
        <v>621</v>
      </c>
      <c r="D77" s="8" t="s">
        <v>622</v>
      </c>
      <c r="E77" s="8"/>
      <c r="F77" s="8"/>
      <c r="G77" s="8" t="s">
        <v>623</v>
      </c>
      <c r="H77" s="8" t="s">
        <v>512</v>
      </c>
      <c r="I77" s="8" t="s">
        <v>624</v>
      </c>
    </row>
    <row r="78" spans="1:9" ht="39.6" x14ac:dyDescent="0.4">
      <c r="A78" s="8" t="s">
        <v>127</v>
      </c>
      <c r="B78" s="8" t="s">
        <v>489</v>
      </c>
      <c r="C78" s="8" t="s">
        <v>625</v>
      </c>
      <c r="D78" s="8" t="s">
        <v>626</v>
      </c>
      <c r="E78" s="8" t="s">
        <v>627</v>
      </c>
      <c r="F78" s="8" t="s">
        <v>376</v>
      </c>
      <c r="G78" s="8" t="s">
        <v>523</v>
      </c>
      <c r="H78" s="8" t="s">
        <v>512</v>
      </c>
      <c r="I78" s="8" t="s">
        <v>628</v>
      </c>
    </row>
    <row r="79" spans="1:9" ht="39.6" x14ac:dyDescent="0.4">
      <c r="A79" s="8" t="s">
        <v>127</v>
      </c>
      <c r="B79" s="8" t="s">
        <v>533</v>
      </c>
      <c r="C79" s="8" t="s">
        <v>629</v>
      </c>
      <c r="D79" s="8" t="s">
        <v>630</v>
      </c>
      <c r="E79" s="8" t="s">
        <v>631</v>
      </c>
      <c r="F79" s="8" t="s">
        <v>266</v>
      </c>
      <c r="G79" s="8" t="s">
        <v>632</v>
      </c>
      <c r="H79" s="8" t="s">
        <v>487</v>
      </c>
      <c r="I79" s="8" t="s">
        <v>633</v>
      </c>
    </row>
    <row r="80" spans="1:9" ht="79.2" x14ac:dyDescent="0.4">
      <c r="A80" s="8" t="s">
        <v>127</v>
      </c>
      <c r="B80" s="8" t="s">
        <v>476</v>
      </c>
      <c r="C80" s="8" t="s">
        <v>634</v>
      </c>
      <c r="D80" s="8" t="s">
        <v>635</v>
      </c>
      <c r="E80" s="8" t="s">
        <v>343</v>
      </c>
      <c r="F80" s="8"/>
      <c r="G80" s="8" t="s">
        <v>636</v>
      </c>
      <c r="H80" s="8" t="s">
        <v>311</v>
      </c>
      <c r="I80" s="8" t="s">
        <v>637</v>
      </c>
    </row>
    <row r="81" spans="1:9" ht="39.6" x14ac:dyDescent="0.4">
      <c r="A81" s="8" t="s">
        <v>127</v>
      </c>
      <c r="B81" s="8" t="s">
        <v>620</v>
      </c>
      <c r="C81" s="8" t="s">
        <v>638</v>
      </c>
      <c r="D81" s="8" t="s">
        <v>639</v>
      </c>
      <c r="E81" s="8" t="s">
        <v>351</v>
      </c>
      <c r="F81" s="8" t="s">
        <v>376</v>
      </c>
      <c r="G81" s="8" t="s">
        <v>640</v>
      </c>
      <c r="H81" s="8" t="s">
        <v>641</v>
      </c>
      <c r="I81" s="8" t="s">
        <v>642</v>
      </c>
    </row>
    <row r="82" spans="1:9" ht="39.6" x14ac:dyDescent="0.4">
      <c r="A82" s="8" t="s">
        <v>127</v>
      </c>
      <c r="B82" s="8" t="s">
        <v>568</v>
      </c>
      <c r="C82" s="8" t="s">
        <v>643</v>
      </c>
      <c r="D82" s="8" t="s">
        <v>644</v>
      </c>
      <c r="E82" s="8"/>
      <c r="F82" s="8" t="s">
        <v>223</v>
      </c>
      <c r="G82" s="8" t="s">
        <v>603</v>
      </c>
      <c r="H82" s="8" t="s">
        <v>370</v>
      </c>
      <c r="I82" s="8" t="s">
        <v>645</v>
      </c>
    </row>
    <row r="83" spans="1:9" ht="39.6" x14ac:dyDescent="0.4">
      <c r="A83" s="8" t="s">
        <v>127</v>
      </c>
      <c r="B83" s="8" t="s">
        <v>489</v>
      </c>
      <c r="C83" s="8" t="s">
        <v>646</v>
      </c>
      <c r="D83" s="8" t="s">
        <v>647</v>
      </c>
      <c r="E83" s="8" t="s">
        <v>648</v>
      </c>
      <c r="F83" s="8" t="s">
        <v>376</v>
      </c>
      <c r="G83" s="8" t="s">
        <v>523</v>
      </c>
      <c r="H83" s="8" t="s">
        <v>512</v>
      </c>
      <c r="I83" s="8" t="s">
        <v>649</v>
      </c>
    </row>
    <row r="84" spans="1:9" ht="39.6" x14ac:dyDescent="0.4">
      <c r="A84" s="8" t="s">
        <v>127</v>
      </c>
      <c r="B84" s="8" t="s">
        <v>568</v>
      </c>
      <c r="C84" s="8" t="s">
        <v>650</v>
      </c>
      <c r="D84" s="8" t="s">
        <v>651</v>
      </c>
      <c r="E84" s="8"/>
      <c r="F84" s="8" t="s">
        <v>652</v>
      </c>
      <c r="G84" s="8" t="s">
        <v>603</v>
      </c>
      <c r="H84" s="8" t="s">
        <v>653</v>
      </c>
      <c r="I84" s="8" t="s">
        <v>654</v>
      </c>
    </row>
    <row r="85" spans="1:9" ht="39.6" x14ac:dyDescent="0.4">
      <c r="A85" s="8" t="s">
        <v>127</v>
      </c>
      <c r="B85" s="8" t="s">
        <v>655</v>
      </c>
      <c r="C85" s="8" t="s">
        <v>656</v>
      </c>
      <c r="D85" s="8" t="s">
        <v>657</v>
      </c>
      <c r="E85" s="8"/>
      <c r="F85" s="8" t="s">
        <v>266</v>
      </c>
      <c r="G85" s="8" t="s">
        <v>658</v>
      </c>
      <c r="H85" s="8" t="s">
        <v>659</v>
      </c>
      <c r="I85" s="8" t="s">
        <v>660</v>
      </c>
    </row>
    <row r="86" spans="1:9" ht="39.6" x14ac:dyDescent="0.4">
      <c r="A86" s="8" t="s">
        <v>127</v>
      </c>
      <c r="B86" s="8" t="s">
        <v>661</v>
      </c>
      <c r="C86" s="8" t="s">
        <v>662</v>
      </c>
      <c r="D86" s="8" t="s">
        <v>663</v>
      </c>
      <c r="E86" s="8" t="s">
        <v>598</v>
      </c>
      <c r="F86" s="8"/>
      <c r="G86" s="8" t="s">
        <v>664</v>
      </c>
      <c r="H86" s="8" t="s">
        <v>487</v>
      </c>
      <c r="I86" s="8" t="s">
        <v>665</v>
      </c>
    </row>
    <row r="87" spans="1:9" ht="39.6" x14ac:dyDescent="0.4">
      <c r="A87" s="8" t="s">
        <v>127</v>
      </c>
      <c r="B87" s="8" t="s">
        <v>553</v>
      </c>
      <c r="C87" s="8" t="s">
        <v>666</v>
      </c>
      <c r="D87" s="8" t="s">
        <v>667</v>
      </c>
      <c r="E87" s="8"/>
      <c r="F87" s="8"/>
      <c r="G87" s="8" t="s">
        <v>668</v>
      </c>
      <c r="H87" s="8" t="s">
        <v>468</v>
      </c>
      <c r="I87" s="8" t="s">
        <v>669</v>
      </c>
    </row>
    <row r="88" spans="1:9" ht="39.6" x14ac:dyDescent="0.4">
      <c r="A88" s="8" t="s">
        <v>127</v>
      </c>
      <c r="B88" s="8" t="s">
        <v>500</v>
      </c>
      <c r="C88" s="8" t="s">
        <v>670</v>
      </c>
      <c r="D88" s="8" t="s">
        <v>671</v>
      </c>
      <c r="E88" s="8"/>
      <c r="F88" s="8" t="s">
        <v>266</v>
      </c>
      <c r="G88" s="8" t="s">
        <v>504</v>
      </c>
      <c r="H88" s="8" t="s">
        <v>672</v>
      </c>
      <c r="I88" s="8" t="s">
        <v>673</v>
      </c>
    </row>
    <row r="89" spans="1:9" ht="39.6" x14ac:dyDescent="0.4">
      <c r="A89" s="8" t="s">
        <v>127</v>
      </c>
      <c r="B89" s="8" t="s">
        <v>489</v>
      </c>
      <c r="C89" s="8" t="s">
        <v>674</v>
      </c>
      <c r="D89" s="8" t="s">
        <v>675</v>
      </c>
      <c r="E89" s="8" t="s">
        <v>365</v>
      </c>
      <c r="F89" s="8" t="s">
        <v>376</v>
      </c>
      <c r="G89" s="8" t="s">
        <v>523</v>
      </c>
      <c r="H89" s="8" t="s">
        <v>512</v>
      </c>
      <c r="I89" s="8" t="s">
        <v>676</v>
      </c>
    </row>
    <row r="90" spans="1:9" ht="39.6" x14ac:dyDescent="0.4">
      <c r="A90" s="8" t="s">
        <v>127</v>
      </c>
      <c r="B90" s="8" t="s">
        <v>677</v>
      </c>
      <c r="C90" s="8" t="s">
        <v>650</v>
      </c>
      <c r="D90" s="8" t="s">
        <v>678</v>
      </c>
      <c r="E90" s="8"/>
      <c r="F90" s="8" t="s">
        <v>266</v>
      </c>
      <c r="G90" s="8" t="s">
        <v>679</v>
      </c>
      <c r="H90" s="8" t="s">
        <v>680</v>
      </c>
      <c r="I90" s="8" t="s">
        <v>681</v>
      </c>
    </row>
    <row r="91" spans="1:9" ht="39.6" x14ac:dyDescent="0.4">
      <c r="A91" s="8" t="s">
        <v>127</v>
      </c>
      <c r="B91" s="8" t="s">
        <v>500</v>
      </c>
      <c r="C91" s="8" t="s">
        <v>682</v>
      </c>
      <c r="D91" s="8" t="s">
        <v>683</v>
      </c>
      <c r="E91" s="8" t="s">
        <v>684</v>
      </c>
      <c r="F91" s="8" t="s">
        <v>266</v>
      </c>
      <c r="G91" s="8" t="s">
        <v>517</v>
      </c>
      <c r="H91" s="8" t="s">
        <v>512</v>
      </c>
      <c r="I91" s="8" t="s">
        <v>685</v>
      </c>
    </row>
    <row r="92" spans="1:9" ht="39.6" x14ac:dyDescent="0.4">
      <c r="A92" s="8" t="s">
        <v>127</v>
      </c>
      <c r="B92" s="8" t="s">
        <v>533</v>
      </c>
      <c r="C92" s="8" t="s">
        <v>686</v>
      </c>
      <c r="D92" s="8" t="s">
        <v>368</v>
      </c>
      <c r="E92" s="8"/>
      <c r="F92" s="8" t="s">
        <v>266</v>
      </c>
      <c r="G92" s="8" t="s">
        <v>537</v>
      </c>
      <c r="H92" s="8" t="s">
        <v>487</v>
      </c>
      <c r="I92" s="8" t="s">
        <v>687</v>
      </c>
    </row>
    <row r="93" spans="1:9" ht="39.6" x14ac:dyDescent="0.4">
      <c r="A93" s="8" t="s">
        <v>127</v>
      </c>
      <c r="B93" s="8" t="s">
        <v>595</v>
      </c>
      <c r="C93" s="8" t="s">
        <v>688</v>
      </c>
      <c r="D93" s="8" t="s">
        <v>689</v>
      </c>
      <c r="E93" s="8"/>
      <c r="F93" s="8"/>
      <c r="G93" s="8" t="s">
        <v>690</v>
      </c>
      <c r="H93" s="8" t="s">
        <v>494</v>
      </c>
      <c r="I93" s="8" t="s">
        <v>691</v>
      </c>
    </row>
    <row r="94" spans="1:9" ht="39.6" x14ac:dyDescent="0.4">
      <c r="A94" s="8" t="s">
        <v>127</v>
      </c>
      <c r="B94" s="8" t="s">
        <v>615</v>
      </c>
      <c r="C94" s="8" t="s">
        <v>692</v>
      </c>
      <c r="D94" s="8" t="s">
        <v>693</v>
      </c>
      <c r="E94" s="8"/>
      <c r="F94" s="8" t="s">
        <v>266</v>
      </c>
      <c r="G94" s="8" t="s">
        <v>694</v>
      </c>
      <c r="H94" s="8" t="s">
        <v>695</v>
      </c>
      <c r="I94" s="8" t="s">
        <v>696</v>
      </c>
    </row>
    <row r="95" spans="1:9" ht="39.6" x14ac:dyDescent="0.4">
      <c r="A95" s="8" t="s">
        <v>127</v>
      </c>
      <c r="B95" s="8" t="s">
        <v>476</v>
      </c>
      <c r="C95" s="8" t="s">
        <v>697</v>
      </c>
      <c r="D95" s="8" t="s">
        <v>698</v>
      </c>
      <c r="E95" s="8" t="s">
        <v>699</v>
      </c>
      <c r="F95" s="8" t="s">
        <v>266</v>
      </c>
      <c r="G95" s="8" t="s">
        <v>636</v>
      </c>
      <c r="H95" s="8" t="s">
        <v>311</v>
      </c>
      <c r="I95" s="8" t="s">
        <v>700</v>
      </c>
    </row>
    <row r="96" spans="1:9" ht="39.6" x14ac:dyDescent="0.4">
      <c r="A96" s="8" t="s">
        <v>127</v>
      </c>
      <c r="B96" s="8" t="s">
        <v>507</v>
      </c>
      <c r="C96" s="8" t="s">
        <v>701</v>
      </c>
      <c r="D96" s="8" t="s">
        <v>702</v>
      </c>
      <c r="E96" s="8" t="s">
        <v>703</v>
      </c>
      <c r="F96" s="8"/>
      <c r="G96" s="8" t="s">
        <v>511</v>
      </c>
      <c r="H96" s="8" t="s">
        <v>487</v>
      </c>
      <c r="I96" s="8" t="s">
        <v>704</v>
      </c>
    </row>
    <row r="97" spans="1:9" ht="39.6" x14ac:dyDescent="0.4">
      <c r="A97" s="8" t="s">
        <v>127</v>
      </c>
      <c r="B97" s="8" t="s">
        <v>705</v>
      </c>
      <c r="C97" s="8" t="s">
        <v>706</v>
      </c>
      <c r="D97" s="8" t="s">
        <v>707</v>
      </c>
      <c r="E97" s="8"/>
      <c r="F97" s="8"/>
      <c r="G97" s="8" t="s">
        <v>708</v>
      </c>
      <c r="H97" s="8" t="s">
        <v>709</v>
      </c>
      <c r="I97" s="8" t="s">
        <v>710</v>
      </c>
    </row>
  </sheetData>
  <autoFilter ref="A4:I97" xr:uid="{00000000-0009-0000-0000-000005000000}"/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pane ySplit="4" topLeftCell="A5" activePane="bottomLeft" state="frozen"/>
      <selection pane="bottomLeft"/>
    </sheetView>
  </sheetViews>
  <sheetFormatPr defaultRowHeight="17.399999999999999" x14ac:dyDescent="0.4"/>
  <cols>
    <col min="1" max="1" width="8" customWidth="1"/>
    <col min="2" max="2" width="26" customWidth="1"/>
    <col min="3" max="3" width="14" customWidth="1"/>
    <col min="4" max="4" width="36" customWidth="1"/>
    <col min="5" max="5" width="14" customWidth="1"/>
    <col min="6" max="6" width="10" customWidth="1"/>
    <col min="7" max="7" width="50" customWidth="1"/>
  </cols>
  <sheetData>
    <row r="1" spans="1:7" ht="18.600000000000001" x14ac:dyDescent="0.4">
      <c r="A1" s="1" t="s">
        <v>711</v>
      </c>
    </row>
    <row r="2" spans="1:7" x14ac:dyDescent="0.4">
      <c r="A2" s="2" t="s">
        <v>712</v>
      </c>
    </row>
    <row r="4" spans="1:7" ht="26.4" x14ac:dyDescent="0.4">
      <c r="A4" s="7" t="s">
        <v>253</v>
      </c>
      <c r="B4" s="7" t="s">
        <v>713</v>
      </c>
      <c r="C4" s="7" t="s">
        <v>714</v>
      </c>
      <c r="D4" s="7" t="s">
        <v>715</v>
      </c>
      <c r="E4" s="7" t="s">
        <v>154</v>
      </c>
      <c r="F4" s="7" t="s">
        <v>716</v>
      </c>
      <c r="G4" s="7" t="s">
        <v>717</v>
      </c>
    </row>
    <row r="5" spans="1:7" x14ac:dyDescent="0.4">
      <c r="A5" s="8" t="s">
        <v>718</v>
      </c>
      <c r="B5" s="8" t="s">
        <v>719</v>
      </c>
      <c r="C5" s="8">
        <v>16</v>
      </c>
      <c r="D5" s="8" t="s">
        <v>720</v>
      </c>
      <c r="E5" s="8" t="s">
        <v>157</v>
      </c>
      <c r="F5" s="8" t="s">
        <v>721</v>
      </c>
      <c r="G5" s="8"/>
    </row>
    <row r="6" spans="1:7" x14ac:dyDescent="0.4">
      <c r="A6" s="8" t="s">
        <v>722</v>
      </c>
      <c r="B6" s="8" t="s">
        <v>723</v>
      </c>
      <c r="C6" s="8">
        <v>15</v>
      </c>
      <c r="D6" s="8" t="s">
        <v>724</v>
      </c>
      <c r="E6" s="8" t="s">
        <v>185</v>
      </c>
      <c r="F6" s="8" t="s">
        <v>721</v>
      </c>
      <c r="G6" s="8" t="s">
        <v>725</v>
      </c>
    </row>
    <row r="7" spans="1:7" x14ac:dyDescent="0.4">
      <c r="A7" s="8" t="s">
        <v>726</v>
      </c>
      <c r="B7" s="8" t="s">
        <v>727</v>
      </c>
      <c r="C7" s="8">
        <v>16</v>
      </c>
      <c r="D7" s="8" t="s">
        <v>728</v>
      </c>
      <c r="E7" s="8" t="s">
        <v>728</v>
      </c>
      <c r="F7" s="8" t="s">
        <v>729</v>
      </c>
      <c r="G7" s="8" t="s">
        <v>730</v>
      </c>
    </row>
    <row r="8" spans="1:7" x14ac:dyDescent="0.4">
      <c r="A8" s="8" t="s">
        <v>731</v>
      </c>
      <c r="B8" s="8" t="s">
        <v>728</v>
      </c>
      <c r="C8" s="8"/>
      <c r="D8" s="8" t="s">
        <v>728</v>
      </c>
      <c r="E8" s="8" t="s">
        <v>728</v>
      </c>
      <c r="F8" s="8" t="s">
        <v>729</v>
      </c>
      <c r="G8" s="8" t="s">
        <v>732</v>
      </c>
    </row>
    <row r="9" spans="1:7" x14ac:dyDescent="0.4">
      <c r="A9" s="8" t="s">
        <v>733</v>
      </c>
      <c r="B9" s="8" t="s">
        <v>734</v>
      </c>
      <c r="C9" s="8">
        <v>16</v>
      </c>
      <c r="D9" s="8" t="s">
        <v>735</v>
      </c>
      <c r="E9" s="8" t="s">
        <v>736</v>
      </c>
      <c r="F9" s="8" t="s">
        <v>729</v>
      </c>
      <c r="G9" s="8" t="s">
        <v>737</v>
      </c>
    </row>
    <row r="10" spans="1:7" x14ac:dyDescent="0.4">
      <c r="A10" s="8" t="s">
        <v>738</v>
      </c>
      <c r="B10" s="8" t="s">
        <v>739</v>
      </c>
      <c r="C10" s="8">
        <v>12</v>
      </c>
      <c r="D10" s="8" t="s">
        <v>740</v>
      </c>
      <c r="E10" s="8" t="s">
        <v>741</v>
      </c>
      <c r="F10" s="8" t="s">
        <v>729</v>
      </c>
      <c r="G10" s="8" t="s">
        <v>742</v>
      </c>
    </row>
    <row r="11" spans="1:7" x14ac:dyDescent="0.4">
      <c r="A11" s="8" t="s">
        <v>743</v>
      </c>
      <c r="B11" s="8" t="s">
        <v>744</v>
      </c>
      <c r="C11" s="8">
        <v>12</v>
      </c>
      <c r="D11" s="8" t="s">
        <v>745</v>
      </c>
      <c r="E11" s="8" t="s">
        <v>185</v>
      </c>
      <c r="F11" s="8" t="s">
        <v>729</v>
      </c>
      <c r="G11" s="8"/>
    </row>
    <row r="12" spans="1:7" x14ac:dyDescent="0.4">
      <c r="A12" s="8" t="s">
        <v>746</v>
      </c>
      <c r="B12" s="8" t="s">
        <v>747</v>
      </c>
      <c r="C12" s="8">
        <v>16</v>
      </c>
      <c r="D12" s="8" t="s">
        <v>748</v>
      </c>
      <c r="E12" s="8" t="s">
        <v>749</v>
      </c>
      <c r="F12" s="8" t="s">
        <v>729</v>
      </c>
      <c r="G12" s="8"/>
    </row>
    <row r="13" spans="1:7" x14ac:dyDescent="0.4">
      <c r="A13" s="8" t="s">
        <v>750</v>
      </c>
      <c r="B13" s="8" t="s">
        <v>751</v>
      </c>
      <c r="C13" s="8">
        <v>16</v>
      </c>
      <c r="D13" s="8" t="s">
        <v>752</v>
      </c>
      <c r="E13" s="8" t="s">
        <v>736</v>
      </c>
      <c r="F13" s="8" t="s">
        <v>729</v>
      </c>
      <c r="G13" s="8" t="s">
        <v>753</v>
      </c>
    </row>
    <row r="14" spans="1:7" x14ac:dyDescent="0.4">
      <c r="A14" s="8" t="s">
        <v>754</v>
      </c>
      <c r="B14" s="8" t="s">
        <v>755</v>
      </c>
      <c r="C14" s="8">
        <v>15</v>
      </c>
      <c r="D14" s="8" t="s">
        <v>756</v>
      </c>
      <c r="E14" s="8" t="s">
        <v>736</v>
      </c>
      <c r="F14" s="8" t="s">
        <v>729</v>
      </c>
      <c r="G14" s="8" t="s">
        <v>757</v>
      </c>
    </row>
    <row r="15" spans="1:7" x14ac:dyDescent="0.4">
      <c r="A15" s="8" t="s">
        <v>758</v>
      </c>
      <c r="B15" s="8" t="s">
        <v>759</v>
      </c>
      <c r="C15" s="8">
        <v>14</v>
      </c>
      <c r="D15" s="8" t="s">
        <v>760</v>
      </c>
      <c r="E15" s="8" t="s">
        <v>761</v>
      </c>
      <c r="F15" s="8" t="s">
        <v>729</v>
      </c>
      <c r="G15" s="8" t="s">
        <v>762</v>
      </c>
    </row>
    <row r="16" spans="1:7" x14ac:dyDescent="0.4">
      <c r="A16" s="8" t="s">
        <v>763</v>
      </c>
      <c r="B16" s="8" t="s">
        <v>764</v>
      </c>
      <c r="C16" s="8">
        <v>15</v>
      </c>
      <c r="D16" s="8" t="s">
        <v>748</v>
      </c>
      <c r="E16" s="8" t="s">
        <v>736</v>
      </c>
      <c r="F16" s="8" t="s">
        <v>729</v>
      </c>
      <c r="G16" s="8" t="s">
        <v>765</v>
      </c>
    </row>
    <row r="17" spans="1:7" x14ac:dyDescent="0.4">
      <c r="A17" s="8" t="s">
        <v>766</v>
      </c>
      <c r="B17" s="8" t="s">
        <v>767</v>
      </c>
      <c r="C17" s="8">
        <v>17</v>
      </c>
      <c r="D17" s="8" t="s">
        <v>768</v>
      </c>
      <c r="E17" s="8" t="s">
        <v>185</v>
      </c>
      <c r="F17" s="8" t="s">
        <v>729</v>
      </c>
      <c r="G17" s="8"/>
    </row>
    <row r="18" spans="1:7" x14ac:dyDescent="0.4">
      <c r="A18" s="8" t="s">
        <v>769</v>
      </c>
      <c r="B18" s="8" t="s">
        <v>770</v>
      </c>
      <c r="C18" s="8">
        <v>10</v>
      </c>
      <c r="D18" s="8" t="s">
        <v>771</v>
      </c>
      <c r="E18" s="8" t="s">
        <v>736</v>
      </c>
      <c r="F18" s="8" t="s">
        <v>729</v>
      </c>
      <c r="G18" s="8" t="s">
        <v>742</v>
      </c>
    </row>
    <row r="19" spans="1:7" x14ac:dyDescent="0.4">
      <c r="A19" s="8" t="s">
        <v>772</v>
      </c>
      <c r="B19" s="8" t="s">
        <v>773</v>
      </c>
      <c r="C19" s="8">
        <v>17</v>
      </c>
      <c r="D19" s="8" t="s">
        <v>774</v>
      </c>
      <c r="E19" s="8" t="s">
        <v>736</v>
      </c>
      <c r="F19" s="8" t="s">
        <v>729</v>
      </c>
      <c r="G19" s="8"/>
    </row>
    <row r="20" spans="1:7" x14ac:dyDescent="0.4">
      <c r="A20" s="8" t="s">
        <v>775</v>
      </c>
      <c r="B20" s="8" t="s">
        <v>776</v>
      </c>
      <c r="C20" s="8">
        <v>16</v>
      </c>
      <c r="D20" s="8" t="s">
        <v>728</v>
      </c>
      <c r="E20" s="8" t="s">
        <v>736</v>
      </c>
      <c r="F20" s="8" t="s">
        <v>729</v>
      </c>
      <c r="G20" s="8"/>
    </row>
    <row r="22" spans="1:7" x14ac:dyDescent="0.4">
      <c r="A22" s="5" t="s">
        <v>256</v>
      </c>
    </row>
    <row r="23" spans="1:7" x14ac:dyDescent="0.4">
      <c r="A23" s="6" t="s">
        <v>777</v>
      </c>
      <c r="C23" s="5">
        <f>COUNT(C5:C20)</f>
        <v>15</v>
      </c>
    </row>
    <row r="24" spans="1:7" x14ac:dyDescent="0.4">
      <c r="A24" s="6" t="s">
        <v>778</v>
      </c>
      <c r="C24" s="5">
        <f>MIN(C5:C20)</f>
        <v>10</v>
      </c>
    </row>
    <row r="25" spans="1:7" x14ac:dyDescent="0.4">
      <c r="A25" s="6" t="s">
        <v>779</v>
      </c>
      <c r="C25" s="5">
        <f>MAX(C5:C20)</f>
        <v>17</v>
      </c>
    </row>
    <row r="26" spans="1:7" x14ac:dyDescent="0.4">
      <c r="A26" s="6" t="s">
        <v>780</v>
      </c>
      <c r="C26" s="5">
        <f>ROUND(AVERAGE(C5:C20),1)</f>
        <v>14.9</v>
      </c>
    </row>
    <row r="27" spans="1:7" x14ac:dyDescent="0.4">
      <c r="A27" s="6" t="s">
        <v>781</v>
      </c>
      <c r="C27" s="5">
        <f>COUNTIF(E5:E20,"서식 1")</f>
        <v>7</v>
      </c>
    </row>
    <row r="28" spans="1:7" x14ac:dyDescent="0.4">
      <c r="A28" s="2" t="s">
        <v>782</v>
      </c>
    </row>
  </sheetData>
  <autoFilter ref="A4:G20" xr:uid="{00000000-0009-0000-0000-000006000000}"/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안내</vt:lpstr>
      <vt:lpstr>제도 한눈에</vt:lpstr>
      <vt:lpstr>준비 서류</vt:lpstr>
      <vt:lpstr>기한·갈림길</vt:lpstr>
      <vt:lpstr>문의처</vt:lpstr>
      <vt:lpstr>지역 자체사업</vt:lpstr>
      <vt:lpstr>16개 시도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영욱 어</cp:lastModifiedBy>
  <dcterms:created xsi:type="dcterms:W3CDTF">2026-10-17T11:28:36Z</dcterms:created>
  <dcterms:modified xsi:type="dcterms:W3CDTF">2026-10-17T11:28:47Z</dcterms:modified>
</cp:coreProperties>
</file>